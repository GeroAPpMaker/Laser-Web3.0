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INPUT DATA" sheetId="2" r:id="rId6"/>
    <sheet state="visible" name="TERM 1 SUMMARY" sheetId="3" r:id="rId7"/>
    <sheet state="hidden" name="TERM 2 SUMMARY" sheetId="4" r:id="rId8"/>
    <sheet state="visible" name="TERM 2 SUMMARY A" sheetId="5" r:id="rId9"/>
    <sheet state="hidden" name="TERM 3 SUMMARY" sheetId="6" r:id="rId10"/>
    <sheet state="visible" name="TERM 3 SUMMARY B" sheetId="7" r:id="rId11"/>
    <sheet state="visible" name="ATTENDANCE RECORD SUMMARY" sheetId="8" r:id="rId12"/>
    <sheet state="visible" name="FINAL GRADES" sheetId="9" r:id="rId13"/>
    <sheet state="visible" name="SF9 - GRADE 4-10" sheetId="10" r:id="rId14"/>
    <sheet state="visible" name="SUGGESTED COMMENTS" sheetId="11" r:id="rId15"/>
    <sheet state="hidden" name="Sheet4"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tc={abe13e60-fbff-4d4b-b9d0-94d4b248b78b}</author>
  </authors>
  <commentList>
    <comment authorId="0" xr:uid="{abe13e60-fbff-4d4b-b9d0-94d4b248b78b}" ref="N11">
      <text>
        <t xml:space="preserve">[Threaded comment]
 Your version of Excel allows you to read this threaded comment; however, any edits to it will get removed if the file is opened in a newer version of Excel. Learn more: https://go.microsoft.com/fwlink/?linkid=870924
Comment:
	TYPE DD/MM/YYYY FORMAT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tc={a780e85f-4aa7-4ce9-a922-630efd56aacd}</author>
    <author>tc={cd2e25c6-277d-4fe3-8e96-7de8c79fe228}</author>
    <author>tc={f0b8cc4e-965b-42be-8076-b853b120ace1}</author>
  </authors>
  <commentList>
    <comment authorId="0" xr:uid="{a780e85f-4aa7-4ce9-a922-630efd56aacd}" ref="B42">
      <text>
        <t xml:space="preserve">[Threaded comment]
 Your version of Excel allows you to read this threaded comment; however, any edits to it will get removed if the file is opened in a newer version of Excel. Learn more: https://go.microsoft.com/fwlink/?linkid=870924
Comment:
	CHANGE FONT COLOR TO BLACK IF MAY KOREAN SUBJECT
DELETE THIS CELL IF NO KOREAN SUBJECT
</t>
      </text>
    </comment>
    <comment authorId="1" xr:uid="{cd2e25c6-277d-4fe3-8e96-7de8c79fe228}" ref="AC9">
      <text>
        <t xml:space="preserve">[Threaded comment]
 Your version of Excel allows you to read this threaded comment; however, any edits to it will get removed if the file is opened in a newer version of Excel. Learn more: https://go.microsoft.com/fwlink/?linkid=870924
Comment:
	CHANGE FONT TO BLACK
</t>
      </text>
    </comment>
    <comment authorId="2" xr:uid="{f0b8cc4e-965b-42be-8076-b853b120ace1}" ref="J43">
      <text>
        <t xml:space="preserve">[Threaded comment]
 Your version of Excel allows you to read this threaded comment; however, any edits to it will get removed if the file is opened in a newer version of Excel. Learn more: https://go.microsoft.com/fwlink/?linkid=870924
Comment:
	CHANGE FONT COLOR BLACK TO APPEAR
</t>
      </text>
    </comment>
  </commentList>
</comments>
</file>

<file path=xl/sharedStrings.xml><?xml version="1.0" encoding="utf-8"?>
<sst xmlns="http://schemas.openxmlformats.org/spreadsheetml/2006/main" count="744" uniqueCount="319">
  <si>
    <t>Input Data Sheet for Electronic-Class Record (ECR) for Class Adviser</t>
  </si>
  <si>
    <t>CLASS SUMMARY - TERM 1</t>
  </si>
  <si>
    <t>SCHOOL INFORMATION</t>
  </si>
  <si>
    <t>LEARNERS' DATA</t>
  </si>
  <si>
    <t>CLASS SUMMARY - TERM 2</t>
  </si>
  <si>
    <t>REGION</t>
  </si>
  <si>
    <t>:</t>
  </si>
  <si>
    <t>NCR</t>
  </si>
  <si>
    <t>DIVISION</t>
  </si>
  <si>
    <t>MALE</t>
  </si>
  <si>
    <t>LRN</t>
  </si>
  <si>
    <t>BIRTHDATE</t>
  </si>
  <si>
    <t>FEMALE</t>
  </si>
  <si>
    <t>SCHOOL NAME</t>
  </si>
  <si>
    <t>LAS PINAS</t>
  </si>
  <si>
    <t>A</t>
  </si>
  <si>
    <t>SCHOOL ID</t>
  </si>
  <si>
    <t>CITY/MUNICIPALITY</t>
  </si>
  <si>
    <t>LAS PINAS CITY</t>
  </si>
  <si>
    <t>B</t>
  </si>
  <si>
    <t>DISTRICT</t>
  </si>
  <si>
    <t>DISTRICT II</t>
  </si>
  <si>
    <t>SCHOOL YEAR</t>
  </si>
  <si>
    <t>LAS PINAS EAST NATIONAL HIGH SCHOOL</t>
  </si>
  <si>
    <t>FIRST TERM</t>
  </si>
  <si>
    <t>GRADE LEVEL</t>
  </si>
  <si>
    <t>SECOND TERM</t>
  </si>
  <si>
    <t>2026-2027</t>
  </si>
  <si>
    <t>SCHOOL HEAD</t>
  </si>
  <si>
    <t>NELSON A. IMACULATA JR.</t>
  </si>
  <si>
    <t>ADVISER</t>
  </si>
  <si>
    <t>SECTION</t>
  </si>
  <si>
    <t>TEACHER, GRADE LEVEL, SECTION INFORMATION</t>
  </si>
  <si>
    <t>LEARNERS' NAMES</t>
  </si>
  <si>
    <t>Date of Birth</t>
  </si>
  <si>
    <t>ROSALINDA S. VALE</t>
  </si>
  <si>
    <t>Age</t>
  </si>
  <si>
    <t>Sex</t>
  </si>
  <si>
    <t>Learning Areas</t>
  </si>
  <si>
    <t>Final Grade</t>
  </si>
  <si>
    <t>(Accepts Grades 4 to 10 only)</t>
  </si>
  <si>
    <t>Rank</t>
  </si>
  <si>
    <t>Filipino</t>
  </si>
  <si>
    <t>English</t>
  </si>
  <si>
    <t>PAMAYPAY</t>
  </si>
  <si>
    <t>Mathematics</t>
  </si>
  <si>
    <t>Science</t>
  </si>
  <si>
    <t>AP</t>
  </si>
  <si>
    <t>GMRC/VE</t>
  </si>
  <si>
    <t>EPP/TLE</t>
  </si>
  <si>
    <t>MAPEH</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</si>
  <si>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</si>
  <si>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M A</t>
  </si>
  <si>
    <t>P E H</t>
  </si>
  <si>
    <t>M</t>
  </si>
  <si>
    <t>2026_v1.0</t>
  </si>
  <si>
    <t>CLASS SUMMARY - TERM 3</t>
  </si>
  <si>
    <t>THIRD TERM</t>
  </si>
  <si>
    <t>F</t>
  </si>
  <si>
    <t>ATTENDANCE RECORD</t>
  </si>
  <si>
    <t>JUN</t>
  </si>
  <si>
    <t>JUL</t>
  </si>
  <si>
    <t>AUG</t>
  </si>
  <si>
    <t>SEP</t>
  </si>
  <si>
    <t>OCT</t>
  </si>
  <si>
    <t>NOV</t>
  </si>
  <si>
    <t>DEC</t>
  </si>
  <si>
    <t>JAN</t>
  </si>
  <si>
    <t>FEB</t>
  </si>
  <si>
    <t>MAR</t>
  </si>
  <si>
    <t>APRIL</t>
  </si>
  <si>
    <t>FINAL GRADES</t>
  </si>
  <si>
    <t/>
  </si>
  <si>
    <t>EUNICE FERNANDEZ</t>
  </si>
  <si>
    <t>AVERAGE</t>
  </si>
  <si>
    <t>RANK</t>
  </si>
  <si>
    <t>Republic of the Philippines</t>
  </si>
  <si>
    <t>Month</t>
  </si>
  <si>
    <t>Jun</t>
  </si>
  <si>
    <t>Jul</t>
  </si>
  <si>
    <t>Aug</t>
  </si>
  <si>
    <t>Sep</t>
  </si>
  <si>
    <t>Oct</t>
  </si>
  <si>
    <t>Nov</t>
  </si>
  <si>
    <t>Dec</t>
  </si>
  <si>
    <t>Jan</t>
  </si>
  <si>
    <t>Feb</t>
  </si>
  <si>
    <t>Mar</t>
  </si>
  <si>
    <t>Apr</t>
  </si>
  <si>
    <t>Total</t>
  </si>
  <si>
    <t>Department of Education</t>
  </si>
  <si>
    <t>No. of Class Days</t>
  </si>
  <si>
    <t>National Capital Region</t>
  </si>
  <si>
    <t>City Schools Division of Las Pinas</t>
  </si>
  <si>
    <t>No. of Days Present</t>
  </si>
  <si>
    <t>Kasoy St. Verdant Acres Subd., Pamplona III, Las Pinas City</t>
  </si>
  <si>
    <t>No. of Days Absent</t>
  </si>
  <si>
    <t>LEARNER'S PERFORMANCE REPORT</t>
  </si>
  <si>
    <t>TEACHER'S COMMENTS / REMARKS</t>
  </si>
  <si>
    <t>School Year 2026-2027</t>
  </si>
  <si>
    <t>Term 1</t>
  </si>
  <si>
    <t>Demonstrates excellent study habits and a positive attitude toward learning.</t>
  </si>
  <si>
    <t>Name:</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</si>
  <si>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</si>
  <si>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</si>
  <si>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</si>
  <si>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</si>
  <si>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</si>
  <si>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</si>
  <si>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</si>
  <si>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</si>
  <si>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</si>
  <si>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</si>
  <si>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</si>
  <si>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</si>
  <si>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</si>
  <si>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</si>
  <si>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</si>
  <si>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</si>
  <si>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</si>
  <si>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</si>
  <si>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</si>
  <si>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</si>
  <si>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</si>
  <si>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</si>
  <si>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TOTAL NUMBER OF SCHOOL DAYS</t>
  </si>
  <si>
    <t>TOTAL</t>
  </si>
  <si>
    <t>APR</t>
  </si>
  <si>
    <t>CERTIFICATE OF TRANSFER</t>
  </si>
  <si>
    <t>This is to certify that the above-named learner has satisfactorily completed the requirements</t>
  </si>
  <si>
    <t>for the grade level indicated.</t>
  </si>
  <si>
    <t>Araling Panlipunan (AP)</t>
  </si>
  <si>
    <t>GMRC / Values Education</t>
  </si>
  <si>
    <t>Admitted to Grade:</t>
  </si>
  <si>
    <t>Eligible for Admission to Grade:</t>
  </si>
  <si>
    <t>Music and Arts</t>
  </si>
  <si>
    <t>Approved:</t>
  </si>
  <si>
    <t>Physical Education and Health</t>
  </si>
  <si>
    <t>SPFL (KOREAN)</t>
  </si>
  <si>
    <t>General Average</t>
  </si>
  <si>
    <t>School  Head</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</si>
  <si>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</si>
  <si>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</si>
  <si>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</si>
  <si>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</si>
  <si>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</si>
  <si>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</si>
  <si>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</si>
  <si>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</si>
  <si>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</si>
  <si>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</si>
  <si>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</si>
  <si>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</si>
  <si>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</si>
  <si>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</si>
  <si>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</si>
  <si>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</si>
  <si>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</si>
  <si>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</si>
  <si>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TERM 1</t>
  </si>
  <si>
    <t>TERM 2</t>
  </si>
  <si>
    <t>TERM 3</t>
  </si>
  <si>
    <t>90–100 | Excellent Performance</t>
  </si>
  <si>
    <t>Demonstrates excellent academic performance and consistent effort.</t>
  </si>
  <si>
    <t>Sustains excellent academic performance and demonstrates strong commitment to learning.</t>
  </si>
  <si>
    <t>Demonstrates excellent achievement and sustained commitment to learning.</t>
  </si>
  <si>
    <t>Shows strong mastery of the competencies and participates actively in class.</t>
  </si>
  <si>
    <t>Continues to demonstrate mastery of the expected competencies.</t>
  </si>
  <si>
    <t>Consistently demonstrates mastery of the expected learning competencies.</t>
  </si>
  <si>
    <t>Consistently produces high-quality work and completes tasks responsibly.</t>
  </si>
  <si>
    <t>Shows excellent participation, responsibility, and consistency in learning tasks.</t>
  </si>
  <si>
    <t>Shows outstanding performance, responsibility, and active participation.</t>
  </si>
  <si>
    <t>Demonstrates strong independent learning skills and initiative.</t>
  </si>
  <si>
    <t>Continues to produce high-quality work across learning activities.</t>
  </si>
  <si>
    <t>Shows initiative, confidence, and commitment to achieving learning goals.</t>
  </si>
  <si>
    <t>Consistently performs beyond expectations in classroom activities and assessments.</t>
  </si>
  <si>
    <t>Demonstrates excellent application of knowledge and skills.</t>
  </si>
  <si>
    <t>Maintains outstanding performance across learning activities and assessments.</t>
  </si>
  <si>
    <t>Shows excellent application of knowledge and skills in different learning situations.</t>
  </si>
  <si>
    <t>Shows strong initiative and independence in completing learning tasks.</t>
  </si>
  <si>
    <t>Demonstrates strong understanding and applies concepts effectively.</t>
  </si>
  <si>
    <t>Maintains high-quality work and demonstrates commendable learning habits.</t>
  </si>
  <si>
    <t>Maintains excellent academic performance through consistent effort.</t>
  </si>
  <si>
    <t>Consistently meets and exceeds expectations in academic tasks.</t>
  </si>
  <si>
    <t>Continues to show confidence and enthusiasm in learning activities.</t>
  </si>
  <si>
    <t>Demonstrates confidence, responsibility, and a positive attitude toward learning.</t>
  </si>
  <si>
    <t>Shows excellent progress and remains engaged in classroom activities.</t>
  </si>
  <si>
    <t>Demonstrates excellent progress and consistently meets learning expectations.</t>
  </si>
  <si>
    <t>Continues to meet high expectations and demonstrates strong learning progress.</t>
  </si>
  <si>
    <t>Continues to demonstrate commendable performance and dedication to learning.</t>
  </si>
  <si>
    <t>Sustains outstanding performance through dedication and consistent effort.</t>
  </si>
  <si>
    <t>Finishes the term with excellent performance and commendable dedication.</t>
  </si>
  <si>
    <t>85–89 | Very Good Performance</t>
  </si>
  <si>
    <t>Demonstrates very good academic performance and consistent effort.</t>
  </si>
  <si>
    <t>Continues to demonstrate very good academic performance and progress.</t>
  </si>
  <si>
    <t>Demonstrates very good achievement and consistent academic effort.</t>
  </si>
  <si>
    <t>Shows good mastery of the competencies and participates actively in learning activities.</t>
  </si>
  <si>
    <t>Shows strong understanding of the competencies and applies learning effectively.</t>
  </si>
  <si>
    <t>Shows strong understanding of the competencies and learning concepts.</t>
  </si>
  <si>
    <t>Consistently completes assigned tasks and demonstrates responsibility.</t>
  </si>
  <si>
    <t>Demonstrates consistent effort and responsible completion of learning tasks.</t>
  </si>
  <si>
    <t>Continues to perform well and demonstrates responsible learning habits.</t>
  </si>
  <si>
    <t>Shows a positive attitude toward learning and continues to make good progress.</t>
  </si>
  <si>
    <t>Participates actively and contributes positively to classroom activities.</t>
  </si>
  <si>
    <t>Shows consistent participation and positive engagement in classroom activities.</t>
  </si>
  <si>
    <t>Demonstrates effective study habits and a willingness to improve.</t>
  </si>
  <si>
    <t>Shows very good progress and continues to develop effective learning habits.</t>
  </si>
  <si>
    <t>Demonstrates very good progress and a willingness to improve.</t>
  </si>
  <si>
    <t>Performs well in assessments and classroom activities.</t>
  </si>
  <si>
    <t>Performs well in assessments and demonstrates readiness to improve further.</t>
  </si>
  <si>
    <t>Completes learning tasks responsibly and meets expected standards.</t>
  </si>
  <si>
    <t>Shows good understanding of the lessons and applies learning appropriately.</t>
  </si>
  <si>
    <t>Demonstrates good initiative and commitment to learning.</t>
  </si>
  <si>
    <t>Shows good application of knowledge and skills in learning activities.</t>
  </si>
  <si>
    <t>Maintains consistent effort and participates constructively in class.</t>
  </si>
  <si>
    <t>Maintains consistent academic performance and positive learning behavior.</t>
  </si>
  <si>
    <t>Maintains very good academic performance and positive learning behavior.</t>
  </si>
  <si>
    <t>Demonstrates very good progress toward the expected learning competencies.</t>
  </si>
  <si>
    <t>Shows strong potential for continued academic growth.</t>
  </si>
  <si>
    <t>Demonstrates strong potential for continued academic growth.</t>
  </si>
  <si>
    <t>Continues to work well and is encouraged to maintain this level of performance.</t>
  </si>
  <si>
    <t>Continues to perform very well and is encouraged to maintain consistent effort.</t>
  </si>
  <si>
    <t>Finishes the term with very good performance and consistent effort.</t>
  </si>
  <si>
    <t>80–84 | Good Performance</t>
  </si>
  <si>
    <t>Demonstrates good academic performance and satisfactory progress.</t>
  </si>
  <si>
    <t>Demonstrates good progress and continues to develop mastery of the competencies.</t>
  </si>
  <si>
    <t>Demonstrates good achievement and satisfactory mastery of the competencies.</t>
  </si>
  <si>
    <t>Shows adequate understanding of the competencies and learning tasks.</t>
  </si>
  <si>
    <t>Shows consistent effort in completing learning activities.</t>
  </si>
  <si>
    <t>Shows steady progress and continues to develop academic skills.</t>
  </si>
  <si>
    <t>Completes most learning activities and demonstrates responsible behavior.</t>
  </si>
  <si>
    <t>Demonstrates good understanding of the lessons and learning tasks.</t>
  </si>
  <si>
    <t>Demonstrates good understanding of the lessons and learning activities.</t>
  </si>
  <si>
    <t>Shows willingness to learn and improve academic performance.</t>
  </si>
  <si>
    <t>Participates in class and is encouraged to become more actively involved.</t>
  </si>
  <si>
    <t>Completes most tasks responsibly and shows willingness to improve.</t>
  </si>
  <si>
    <t>Participates in class and continues to develop confidence in learning.</t>
  </si>
  <si>
    <t>Shows improvement in academic performance and learning habits.</t>
  </si>
  <si>
    <t>Shows good potential and is encouraged to maintain consistent effort.</t>
  </si>
  <si>
    <t>Demonstrates good progress but can further improve through consistent effort.</t>
  </si>
  <si>
    <t>Demonstrates potential for higher achievement through continued effort.</t>
  </si>
  <si>
    <t>Participates in learning activities and continues to develop confidence.</t>
  </si>
  <si>
    <t>Shows satisfactory mastery of the lessons and applies learning appropriately.</t>
  </si>
  <si>
    <t>Completes assigned tasks responsibly and continues to develop needed skills.</t>
  </si>
  <si>
    <t>Demonstrates satisfactory progress with opportunities for further improvement.</t>
  </si>
  <si>
    <t>Continues to develop effective study habits and learning strategies.</t>
  </si>
  <si>
    <t>Shows good progress but needs greater consistency in some learning areas.</t>
  </si>
  <si>
    <t>Shows positive learning habits and a willingness to accept guidance.</t>
  </si>
  <si>
    <t>Demonstrates good potential and is encouraged to participate more actively.</t>
  </si>
  <si>
    <t>Demonstrates a positive attitude and willingness to improve.</t>
  </si>
  <si>
    <t>Continues to develop skills needed for stronger academic performance.</t>
  </si>
  <si>
    <t>Maintains good performance and should continue working toward higher achievement.</t>
  </si>
  <si>
    <t>Maintains good performance and is encouraged to work toward higher goals.</t>
  </si>
  <si>
    <t>Finishes the term with good performance and is encouraged to aim higher.</t>
  </si>
  <si>
    <t>75–79 | Satisfactory Performance</t>
  </si>
  <si>
    <t>Demonstrates satisfactory progress toward the expected learning competencies.</t>
  </si>
  <si>
    <t>Shows satisfactory progress but needs greater consistency in academic tasks.</t>
  </si>
  <si>
    <t>Demonstrates satisfactory achievement but needs continued improvement.</t>
  </si>
  <si>
    <t>Completes learning tasks but needs more consistent effort.</t>
  </si>
  <si>
    <t>Demonstrates basic understanding and is encouraged to strengthen key competencies.</t>
  </si>
  <si>
    <t>Shows basic mastery of the competencies and requires additional practice.</t>
  </si>
  <si>
    <t>Shows basic understanding of the lessons and is encouraged to participate more.</t>
  </si>
  <si>
    <t>Needs to improve study habits and regular participation in class.</t>
  </si>
  <si>
    <t>Demonstrates progress but needs greater consistency in completing learning tasks.</t>
  </si>
  <si>
    <t>Demonstrates satisfactory performance with room for further improvement.</t>
  </si>
  <si>
    <t>Shows progress and can achieve better results through sustained effort.</t>
  </si>
  <si>
    <t>Is encouraged to strengthen study habits and participate more actively.</t>
  </si>
  <si>
    <t>Needs to strengthen study habits and maintain regular participation.</t>
  </si>
  <si>
    <t>Is encouraged to complete all learning activities and assignments consistently.</t>
  </si>
  <si>
    <t>Shows potential for improvement through regular practice and effort.</t>
  </si>
  <si>
    <t>Shows potential for improvement through consistent practice and effort.</t>
  </si>
  <si>
    <t>Needs more practice to strengthen understanding and application of concepts.</t>
  </si>
  <si>
    <t>Needs continued focus and perseverance to achieve better results.</t>
  </si>
  <si>
    <t>Is encouraged to review lessons regularly and complete tasks on time.</t>
  </si>
  <si>
    <t>Demonstrates potential but requires greater focus and perseverance.</t>
  </si>
  <si>
    <t>Demonstrates satisfactory performance with areas that require further development.</t>
  </si>
  <si>
    <t>Demonstrates progress but needs greater focus during learning activities.</t>
  </si>
  <si>
    <t>Shows satisfactory performance with specific areas that need improvement.</t>
  </si>
  <si>
    <t>Is encouraged to review lessons regularly and seek assistance when needed.</t>
  </si>
  <si>
    <t>Can improve performance through increased participation and perseverance.</t>
  </si>
  <si>
    <t>Is encouraged to participate more actively and seek help when needed.</t>
  </si>
  <si>
    <t>Can improve academic performance through greater participation and consistency.</t>
  </si>
  <si>
    <t>Continues to need encouragement and guidance to strengthen learning outcomes.</t>
  </si>
  <si>
    <t>Continued guidance and consistent effort can help improve academic performance.</t>
  </si>
  <si>
    <t>Finishes the term satisfactorily and is encouraged to continue working toward improvement.</t>
  </si>
  <si>
    <t>Below 75 | Needs Improvement</t>
  </si>
  <si>
    <t>Needs improvement in meeting the expected learning competencies.</t>
  </si>
  <si>
    <t>Needs continued improvement in achieving the expected learning competencies.</t>
  </si>
  <si>
    <t>Needs continued support to meet the expected learning competencies.</t>
  </si>
  <si>
    <t>Requires more consistent effort and participation in learning activities.</t>
  </si>
  <si>
    <t>Requires additional practice and support to strengthen understanding of lessons.</t>
  </si>
  <si>
    <t>Requires additional practice and focused effort to improve academic performance.</t>
  </si>
  <si>
    <t>Is encouraged to review lessons regularly and complete assigned tasks.</t>
  </si>
  <si>
    <t>Needs to improve consistency in completing learning activities and assignments.</t>
  </si>
  <si>
    <t>Needs to strengthen understanding of essential concepts and skills.</t>
  </si>
  <si>
    <t>Needs additional practice to strengthen understanding of key concepts.</t>
  </si>
  <si>
    <t>Is encouraged to develop regular study routines and review lessons at home.</t>
  </si>
  <si>
    <t>Is encouraged to establish regular study habits and complete learning tasks.</t>
  </si>
  <si>
    <t>Requires closer attention to learning tasks and classroom activities.</t>
  </si>
  <si>
    <t>Requires greater participation and focus during classroom activities.</t>
  </si>
  <si>
    <t>Requires greater participation and attention during learning activities.</t>
  </si>
  <si>
    <t>Is encouraged to seek assistance when experiencing difficulty with lessons.</t>
  </si>
  <si>
    <t>Needs to seek clarification and assistance when learning difficulties arise.</t>
  </si>
  <si>
    <t>Needs continued guidance and opportunities for practice and reinforcement.</t>
  </si>
  <si>
    <t>Needs to develop more consistent study habits and responsibility for learning.</t>
  </si>
  <si>
    <t>Shows areas requiring improvement and would benefit from closer guidance.</t>
  </si>
  <si>
    <t>Is encouraged to seek help when difficulties with lessons are encountered.</t>
  </si>
  <si>
    <t>Shows areas for improvement and would benefit from continued guidance.</t>
  </si>
  <si>
    <t>Greater perseverance and consistent effort are needed to improve performance.</t>
  </si>
  <si>
    <t>Greater consistency, perseverance, and effort are needed to improve performance.</t>
  </si>
  <si>
    <t>Greater effort and regular practice are needed to improve academic performance.</t>
  </si>
  <si>
    <t>Needs to strengthen foundational skills before progressing to more complex tasks.</t>
  </si>
  <si>
    <t>Needs focused intervention and continued practice in identified learning areas.</t>
  </si>
  <si>
    <t>Requires sustained support, practice, and participation to meet learning expectations.</t>
  </si>
  <si>
    <t>Continued support, practice, and active participation are encouraged.</t>
  </si>
  <si>
    <t>Continued guidance, support, and active participation are encouraged to promote improvement.</t>
  </si>
  <si>
    <t>PROMOTED</t>
  </si>
  <si>
    <t>Conditionally Promoted</t>
  </si>
  <si>
    <t>RETAINED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</si>
</sst>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9">
    <font>
      <sz val="10.0"/>
      <color rgb="FF000000"/>
      <name val="Arial"/>
      <scheme val="minor"/>
    </font>
    <font>
      <b/>
      <sz val="22.0"/>
      <color rgb="FF002060"/>
      <name val="Arial"/>
    </font>
    <font/>
    <font>
      <sz val="11.0"/>
      <color theme="1"/>
      <name val="Arial"/>
    </font>
    <font>
      <b/>
      <sz val="23.0"/>
      <color theme="1"/>
      <name val="Arial"/>
    </font>
    <font>
      <b/>
      <sz val="11.0"/>
      <color rgb="FFFFFFFF"/>
      <name val="Arial"/>
    </font>
    <font>
      <sz val="10.0"/>
      <color theme="1"/>
      <name val="Arial"/>
    </font>
    <font>
      <sz val="12.0"/>
      <color theme="1"/>
      <name val="Arial"/>
    </font>
    <font>
      <b/>
      <sz val="12.0"/>
      <color theme="1"/>
      <name val="Arial"/>
    </font>
    <font>
      <b/>
      <sz val="11.0"/>
      <color rgb="FF002060"/>
      <name val="Arial"/>
    </font>
    <font>
      <b/>
      <sz val="10.0"/>
      <color theme="1"/>
      <name val="Arial"/>
    </font>
    <font>
      <b/>
      <sz val="20.0"/>
      <color theme="1"/>
      <name val="Arial"/>
    </font>
    <font>
      <b/>
      <sz val="11.0"/>
      <color theme="1"/>
      <name val="Arial"/>
    </font>
    <font>
      <b/>
      <sz val="15.0"/>
      <color theme="1"/>
      <name val="Arial"/>
    </font>
    <font>
      <i/>
      <sz val="11.0"/>
      <color rgb="FF002060"/>
      <name val="Arial"/>
    </font>
    <font>
      <i/>
      <sz val="9.0"/>
      <color rgb="FF002060"/>
      <name val="Arial"/>
    </font>
    <font>
      <b/>
      <sz val="10.0"/>
      <color rgb="FF000000"/>
      <name val="Arial"/>
    </font>
    <font>
      <i/>
      <sz val="8.0"/>
      <color theme="1"/>
      <name val="Arial"/>
    </font>
    <font>
      <b/>
      <sz val="21.0"/>
      <color theme="1"/>
      <name val="Arial"/>
    </font>
    <font>
      <sz val="10.0"/>
      <color rgb="FF000000"/>
      <name val="Arial"/>
    </font>
    <font>
      <b/>
      <sz val="16.0"/>
      <color theme="1"/>
      <name val="Arial"/>
    </font>
    <font>
      <b/>
      <sz val="11.0"/>
      <color rgb="FF000000"/>
      <name val="Arial"/>
    </font>
    <font>
      <b/>
      <sz val="12.0"/>
      <color rgb="FF000000"/>
      <name val="Arial"/>
    </font>
    <font>
      <sz val="12.0"/>
      <color theme="1"/>
      <name val="Bookman Old Style"/>
    </font>
    <font>
      <b/>
      <sz val="12.0"/>
      <color theme="1"/>
      <name val="Bookman Old Style"/>
    </font>
    <font>
      <b/>
      <sz val="12.0"/>
      <color theme="0"/>
      <name val="Bookman Old Style"/>
    </font>
    <font>
      <sz val="12.0"/>
      <color theme="0"/>
      <name val="Bookman Old Style"/>
    </font>
    <font>
      <b/>
      <sz val="11.0"/>
      <color theme="0"/>
      <name val="Bookman Old Style"/>
    </font>
    <font>
      <sz val="16.0"/>
      <color theme="1"/>
      <name val="Arial"/>
    </font>
    <font>
      <b/>
      <sz val="12.0"/>
      <color rgb="FF000000"/>
      <name val="Bookman Old Style"/>
    </font>
    <font>
      <sz val="12.0"/>
      <color rgb="FF000000"/>
      <name val="Bookman Old Style"/>
    </font>
    <font>
      <b/>
      <sz val="13.0"/>
      <color theme="1"/>
      <name val="Arial"/>
    </font>
    <font>
      <i/>
      <sz val="12.0"/>
      <color rgb="FF000000"/>
      <name val="Bookman Old Style"/>
    </font>
    <font>
      <i/>
      <sz val="11.0"/>
      <color rgb="FF000000"/>
      <name val="Bookman Old Style"/>
    </font>
    <font>
      <b/>
      <i/>
      <sz val="12.0"/>
      <color rgb="FF000000"/>
      <name val="Bookman Old Style"/>
    </font>
    <font>
      <i/>
      <sz val="11.0"/>
      <color theme="0"/>
      <name val="Bookman Old Style"/>
    </font>
    <font>
      <b/>
      <i/>
      <sz val="14.0"/>
      <color rgb="FF000000"/>
      <name val="Bookman Old Style"/>
    </font>
    <font>
      <sz val="12.0"/>
      <color theme="0"/>
      <name val="Arial"/>
    </font>
    <font>
      <color theme="1"/>
      <name val="Arial"/>
      <scheme val="minor"/>
    </font>
  </fonts>
  <fills count="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ECECEC"/>
        <bgColor rgb="FFECECEC"/>
      </patternFill>
    </fill>
    <fill>
      <patternFill patternType="solid">
        <fgColor rgb="FFCCCCCC"/>
        <bgColor rgb="FFCCCCCC"/>
      </patternFill>
    </fill>
  </fills>
  <borders count="122">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style="thin">
        <color rgb="FF000000"/>
      </top>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left style="medium">
        <color rgb="FF000000"/>
      </left>
    </border>
    <border>
      <left style="thin">
        <color rgb="FF000000"/>
      </left>
      <bottom style="thin">
        <color rgb="FF000000"/>
      </bottom>
    </border>
    <border>
      <right style="medium">
        <color rgb="FF000000"/>
      </right>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border>
    <border>
      <left style="medium">
        <color rgb="FF000000"/>
      </left>
      <right style="medium">
        <color rgb="FF000000"/>
      </right>
      <top style="medium">
        <color rgb="FF000000"/>
      </top>
    </border>
    <border>
      <left style="medium">
        <color rgb="FF000000"/>
      </left>
      <right style="medium">
        <color rgb="FF000000"/>
      </right>
    </border>
    <border>
      <left style="thin">
        <color rgb="FF000000"/>
      </left>
      <right/>
      <top/>
      <bottom style="thin">
        <color rgb="FF000000"/>
      </bottom>
    </border>
    <border>
      <left/>
      <right/>
      <top/>
      <bottom style="thin">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bottom style="thin">
        <color rgb="FF000000"/>
      </bottom>
    </border>
    <border>
      <left style="thin">
        <color rgb="FF000000"/>
      </left>
      <right/>
      <top style="medium">
        <color rgb="FF000000"/>
      </top>
      <bottom/>
    </border>
    <border>
      <left style="medium">
        <color rgb="FF000000"/>
      </left>
      <right style="thin">
        <color rgb="FF000000"/>
      </right>
      <top style="thin">
        <color rgb="FF000000"/>
      </top>
      <bottom style="thin">
        <color rgb="FF000000"/>
      </bottom>
    </border>
    <border>
      <left style="medium">
        <color rgb="FF000000"/>
      </left>
      <right/>
      <top style="medium">
        <color rgb="FF000000"/>
      </top>
      <bottom/>
    </border>
    <border>
      <left style="medium">
        <color rgb="FF000000"/>
      </left>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bottom style="medium">
        <color rgb="FF000000"/>
      </bottom>
    </border>
    <border>
      <top/>
      <bottom style="medium">
        <color rgb="FF000000"/>
      </bottom>
    </border>
    <border>
      <right style="medium">
        <color rgb="FF000000"/>
      </right>
      <top/>
      <bottom style="medium">
        <color rgb="FF000000"/>
      </bottom>
    </border>
    <border>
      <left/>
      <top/>
      <bottom style="medium">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right/>
      <top style="medium">
        <color rgb="FF000000"/>
      </top>
      <bottom style="medium">
        <color rgb="FF000000"/>
      </bottom>
    </border>
    <border>
      <left/>
      <right/>
      <top style="medium">
        <color rgb="FF000000"/>
      </top>
      <bottom/>
    </border>
    <border>
      <left style="thin">
        <color rgb="FF000000"/>
      </left>
      <top style="thin">
        <color rgb="FF000000"/>
      </top>
      <bottom style="medium">
        <color rgb="FF000000"/>
      </bottom>
    </border>
    <border>
      <left/>
      <right style="medium">
        <color rgb="FF000000"/>
      </right>
      <top style="medium">
        <color rgb="FF000000"/>
      </top>
      <bottom style="medium">
        <color rgb="FF000000"/>
      </bottom>
    </border>
    <border>
      <top style="thin">
        <color rgb="FF000000"/>
      </top>
      <bottom style="medium">
        <color rgb="FF000000"/>
      </bottom>
    </border>
    <border>
      <left style="thin">
        <color rgb="FF000000"/>
      </left>
      <top style="medium">
        <color rgb="FF000000"/>
      </top>
      <bottom/>
    </border>
    <border>
      <top style="medium">
        <color rgb="FF000000"/>
      </top>
      <bottom/>
    </border>
    <border>
      <right style="medium">
        <color rgb="FF000000"/>
      </right>
      <top style="medium">
        <color rgb="FF000000"/>
      </top>
      <bottom/>
    </border>
    <border>
      <left/>
      <top style="thin">
        <color rgb="FF000000"/>
      </top>
      <bottom style="medium">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ttom/>
    </border>
    <border>
      <left style="medium">
        <color rgb="FF000000"/>
      </lef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rder>
    <border>
      <left style="medium">
        <color rgb="FF000000"/>
      </left>
      <top style="thin">
        <color rgb="FF000000"/>
      </top>
      <bottom style="medium">
        <color rgb="FF000000"/>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top/>
    </border>
    <border>
      <right style="medium">
        <color rgb="FF000000"/>
      </right>
      <top/>
    </border>
    <border>
      <bottom style="thin">
        <color rgb="FF000000"/>
      </bottom>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top/>
      <bottom style="medium">
        <color rgb="FF000000"/>
      </bottom>
    </border>
    <border>
      <right style="thin">
        <color rgb="FF000000"/>
      </right>
      <top style="medium">
        <color rgb="FF000000"/>
      </top>
      <bottom style="thin">
        <color rgb="FF000000"/>
      </bottom>
    </border>
    <border>
      <right style="thin">
        <color rgb="FF000000"/>
      </right>
      <top style="medium">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thin">
        <color rgb="FF000000"/>
      </bottom>
    </border>
    <border>
      <left style="thin">
        <color rgb="FF000000"/>
      </left>
      <bottom style="medium">
        <color rgb="FF000000"/>
      </bottom>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4" numFmtId="0" xfId="0" applyAlignment="1" applyFont="1">
      <alignment horizontal="center" vertical="center"/>
    </xf>
    <xf borderId="9" fillId="3" fontId="5" numFmtId="0" xfId="0" applyAlignment="1" applyBorder="1" applyFill="1" applyFont="1">
      <alignment horizontal="center" vertical="center"/>
    </xf>
    <xf borderId="10" fillId="0" fontId="2" numFmtId="0" xfId="0" applyBorder="1" applyFont="1"/>
    <xf borderId="0" fillId="0" fontId="6" numFmtId="0" xfId="0" applyAlignment="1" applyFont="1">
      <alignment horizontal="left" vertical="center"/>
    </xf>
    <xf borderId="11" fillId="0" fontId="2" numFmtId="0" xfId="0" applyBorder="1" applyFont="1"/>
    <xf borderId="0" fillId="0" fontId="6" numFmtId="0" xfId="0" applyAlignment="1" applyFont="1">
      <alignment horizontal="center" vertical="center"/>
    </xf>
    <xf borderId="12" fillId="0" fontId="2" numFmtId="0" xfId="0" applyBorder="1" applyFont="1"/>
    <xf borderId="0" fillId="0" fontId="7" numFmtId="0" xfId="0" applyAlignment="1" applyFont="1">
      <alignment horizontal="center" vertical="center"/>
    </xf>
    <xf borderId="13" fillId="0" fontId="2" numFmtId="0" xfId="0" applyBorder="1" applyFont="1"/>
    <xf borderId="0" fillId="0" fontId="8" numFmtId="0" xfId="0" applyAlignment="1" applyFont="1">
      <alignment horizontal="center" vertical="center"/>
    </xf>
    <xf borderId="0" fillId="0" fontId="7" numFmtId="0" xfId="0" applyAlignment="1" applyFont="1">
      <alignment horizontal="left" vertical="center"/>
    </xf>
    <xf borderId="0" fillId="0" fontId="8" numFmtId="0" xfId="0" applyAlignment="1" applyFont="1">
      <alignment horizontal="right" vertical="center"/>
    </xf>
    <xf borderId="14" fillId="4" fontId="3" numFmtId="0" xfId="0" applyAlignment="1" applyBorder="1" applyFill="1" applyFont="1">
      <alignment vertical="center"/>
    </xf>
    <xf borderId="15" fillId="4" fontId="3" numFmtId="0" xfId="0" applyAlignment="1" applyBorder="1" applyFill="1" applyFont="1">
      <alignment vertical="center"/>
    </xf>
    <xf borderId="16" fillId="4" fontId="3" numFmtId="0" xfId="0" applyAlignment="1" applyBorder="1" applyFill="1" applyFont="1">
      <alignment vertical="center"/>
    </xf>
    <xf borderId="17" fillId="5" fontId="9" numFmtId="0" xfId="0" applyAlignment="1" applyBorder="1" applyFill="1" applyFont="1">
      <alignment vertical="center"/>
    </xf>
    <xf borderId="18" fillId="0" fontId="2" numFmtId="0" xfId="0" applyBorder="1" applyFont="1"/>
    <xf borderId="19" fillId="5" fontId="9" numFmtId="0" xfId="0" applyAlignment="1" applyBorder="1" applyFill="1" applyFont="1">
      <alignment horizontal="center" vertical="center"/>
    </xf>
    <xf borderId="20" fillId="0" fontId="3" numFmtId="0" xfId="0" applyAlignment="1" applyBorder="1" applyFont="1">
      <alignment horizontal="center" vertical="center"/>
    </xf>
    <xf borderId="21" fillId="0" fontId="2" numFmtId="0" xfId="0" applyBorder="1" applyFont="1"/>
    <xf borderId="22" fillId="0" fontId="2" numFmtId="0" xfId="0" applyBorder="1" applyFont="1"/>
    <xf borderId="0" fillId="0" fontId="7" numFmtId="0" xfId="0" applyFont="1"/>
    <xf borderId="23" fillId="5" fontId="3" numFmtId="0" xfId="0" applyAlignment="1" applyBorder="1" applyFill="1" applyFont="1">
      <alignment vertical="center"/>
    </xf>
    <xf borderId="24" fillId="0" fontId="2" numFmtId="0" xfId="0" applyBorder="1" applyFont="1"/>
    <xf borderId="25" fillId="3" fontId="5" numFmtId="0" xfId="0" applyAlignment="1" applyBorder="1" applyFill="1" applyFont="1">
      <alignment vertical="center"/>
    </xf>
    <xf borderId="26" fillId="3" fontId="3" numFmtId="0" xfId="0" applyAlignment="1" applyBorder="1" applyFill="1" applyFont="1">
      <alignment vertical="center"/>
    </xf>
    <xf borderId="15" fillId="3" fontId="5" numFmtId="0" xfId="0" applyAlignment="1" applyBorder="1" applyFill="1" applyFont="1">
      <alignment horizontal="center"/>
    </xf>
    <xf borderId="0" fillId="0" fontId="3" numFmtId="0" xfId="0" applyAlignment="1" applyFont="1">
      <alignment horizontal="center" vertical="center"/>
    </xf>
    <xf borderId="27" fillId="3" fontId="3" numFmtId="0" xfId="0" applyAlignment="1" applyBorder="1" applyFill="1" applyFont="1">
      <alignment vertical="center"/>
    </xf>
    <xf borderId="0" fillId="0" fontId="7" numFmtId="0" xfId="0" applyAlignment="1" applyFont="1">
      <alignment horizontal="left" shrinkToFit="0" vertical="center" wrapText="1"/>
    </xf>
    <xf borderId="19" fillId="5" fontId="3" numFmtId="0" xfId="0" applyAlignment="1" applyBorder="1" applyFill="1" applyFont="1">
      <alignment vertical="center"/>
    </xf>
    <xf borderId="26" fillId="5" fontId="3" numFmtId="0" xfId="0" applyAlignment="1" applyBorder="1" applyFill="1" applyFont="1">
      <alignment vertical="center"/>
    </xf>
    <xf borderId="27" fillId="5" fontId="9" numFmtId="0" xfId="0" applyAlignment="1" applyBorder="1" applyFill="1" applyFont="1">
      <alignment horizontal="center" vertical="center"/>
    </xf>
    <xf borderId="27" fillId="5" fontId="3" numFmtId="0" xfId="0" applyAlignment="1" applyBorder="1" applyFill="1" applyFont="1">
      <alignment vertical="center"/>
    </xf>
    <xf borderId="27" fillId="5" fontId="3" numFmtId="1" xfId="0" applyAlignment="1" applyBorder="1" applyFill="1" applyFont="1" applyNumberFormat="1">
      <alignment horizontal="center"/>
    </xf>
    <xf borderId="27" fillId="5" fontId="3" numFmtId="164" xfId="0" applyAlignment="1" applyBorder="1" applyFill="1" applyFont="1" applyNumberFormat="1">
      <alignment horizontal="center"/>
    </xf>
    <xf borderId="27" fillId="5" fontId="3" numFmtId="14" xfId="0" applyAlignment="1" applyBorder="1" applyFill="1" applyFont="1" applyNumberFormat="1">
      <alignment horizontal="center"/>
    </xf>
    <xf borderId="20" fillId="0" fontId="3" numFmtId="0" xfId="0" applyAlignment="1" applyBorder="1" applyFont="1">
      <alignment horizontal="center"/>
    </xf>
    <xf borderId="0" fillId="0" fontId="3" numFmtId="0" xfId="0" applyAlignment="1" applyFont="1">
      <alignment horizontal="center"/>
    </xf>
    <xf borderId="0" fillId="0" fontId="7" numFmtId="0" xfId="0" applyAlignment="1" applyFont="1">
      <alignment horizontal="center" shrinkToFit="0" vertical="center" wrapText="1"/>
    </xf>
    <xf borderId="27" fillId="5" fontId="3" numFmtId="0" xfId="0" applyAlignment="1" applyBorder="1" applyFill="1" applyFont="1">
      <alignment horizontal="center"/>
    </xf>
    <xf borderId="27" fillId="5" fontId="3" numFmtId="1" xfId="0" applyAlignment="1" applyBorder="1" applyFill="1" applyFont="1" applyNumberFormat="1">
      <alignment horizontal="center" vertical="center"/>
    </xf>
    <xf borderId="27" fillId="5" fontId="3" numFmtId="164" xfId="0" applyAlignment="1" applyBorder="1" applyFill="1" applyFont="1" applyNumberFormat="1">
      <alignment horizontal="center" vertical="center"/>
    </xf>
    <xf borderId="0" fillId="0" fontId="10" numFmtId="0" xfId="0" applyAlignment="1" applyFont="1">
      <alignment horizontal="center" vertical="center"/>
    </xf>
    <xf borderId="0" fillId="0" fontId="6" numFmtId="0" xfId="0" applyAlignment="1" applyFont="1">
      <alignment horizontal="center" shrinkToFit="0" vertical="center" wrapText="1"/>
    </xf>
    <xf borderId="28" fillId="5" fontId="3" numFmtId="0" xfId="0" applyAlignment="1" applyBorder="1" applyFill="1" applyFont="1">
      <alignment horizontal="left" vertical="center"/>
    </xf>
    <xf borderId="24" fillId="0" fontId="6" numFmtId="0" xfId="0" applyAlignment="1" applyBorder="1" applyFont="1">
      <alignment horizontal="left"/>
    </xf>
    <xf borderId="0" fillId="0" fontId="10" numFmtId="0" xfId="0" applyAlignment="1" applyFont="1">
      <alignment horizontal="center" shrinkToFit="0" vertical="center" wrapText="1"/>
    </xf>
    <xf borderId="27" fillId="5" fontId="3" numFmtId="0" xfId="0" applyAlignment="1" applyBorder="1" applyFill="1" applyFont="1">
      <alignment horizontal="center" vertical="center"/>
    </xf>
    <xf borderId="29" fillId="5" fontId="9" numFmtId="0" xfId="0" applyAlignment="1" applyBorder="1" applyFill="1" applyFont="1">
      <alignment vertical="center"/>
    </xf>
    <xf borderId="30" fillId="0" fontId="2" numFmtId="0" xfId="0" applyBorder="1" applyFont="1"/>
    <xf borderId="20" fillId="3" fontId="6" numFmtId="0" xfId="0" applyAlignment="1" applyBorder="1" applyFill="1" applyFont="1">
      <alignment horizontal="center" vertical="center"/>
    </xf>
    <xf borderId="31" fillId="5" fontId="9" numFmtId="0" xfId="0" applyAlignment="1" applyBorder="1" applyFill="1" applyFont="1">
      <alignment horizontal="center" vertical="center"/>
    </xf>
    <xf borderId="32" fillId="5" fontId="3" numFmtId="0" xfId="0" applyAlignment="1" applyBorder="1" applyFill="1" applyFont="1">
      <alignment shrinkToFit="0" vertical="center" wrapText="1"/>
    </xf>
    <xf borderId="33" fillId="0" fontId="2" numFmtId="0" xfId="0" applyBorder="1" applyFont="1"/>
    <xf borderId="34" fillId="0" fontId="11" numFmtId="0" xfId="0" applyAlignment="1" applyBorder="1" applyFont="1">
      <alignment horizontal="center" vertical="center"/>
    </xf>
    <xf borderId="35" fillId="0" fontId="2" numFmtId="0" xfId="0" applyBorder="1" applyFont="1"/>
    <xf borderId="37" fillId="0" fontId="2" numFmtId="0" xfId="0" applyBorder="1" applyFont="1"/>
    <xf borderId="36"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0" fontId="12" numFmtId="0" xfId="0" applyAlignment="1" applyBorder="1" applyFont="1">
      <alignment horizontal="left" vertical="center"/>
    </xf>
    <xf borderId="23" fillId="5" fontId="3" numFmtId="0" xfId="0" applyAlignment="1" applyBorder="1" applyFill="1" applyFont="1">
      <alignment horizontal="left" vertical="center"/>
    </xf>
    <xf borderId="41" fillId="0" fontId="3" numFmtId="0" xfId="0" applyAlignment="1" applyBorder="1" applyFont="1">
      <alignment horizontal="center" vertical="center"/>
    </xf>
    <xf borderId="42" fillId="0" fontId="2" numFmtId="0" xfId="0" applyBorder="1" applyFont="1"/>
    <xf borderId="43" fillId="0" fontId="2" numFmtId="0" xfId="0" applyBorder="1" applyFont="1"/>
    <xf borderId="34" fillId="0" fontId="12" numFmtId="0" xfId="0" applyAlignment="1" applyBorder="1" applyFont="1">
      <alignment horizontal="center" vertical="center"/>
    </xf>
    <xf borderId="44" fillId="4" fontId="3" numFmtId="0" xfId="0" applyAlignment="1" applyBorder="1" applyFill="1" applyFont="1">
      <alignment vertical="center"/>
    </xf>
    <xf borderId="45" fillId="4" fontId="3" numFmtId="0" xfId="0" applyAlignment="1" applyBorder="1" applyFill="1" applyFont="1">
      <alignment vertical="center"/>
    </xf>
    <xf borderId="46" fillId="4" fontId="3" numFmtId="0" xfId="0" applyAlignment="1" applyBorder="1" applyFill="1" applyFont="1">
      <alignment vertical="center"/>
    </xf>
    <xf borderId="9" fillId="0" fontId="3" numFmtId="0" xfId="0" applyAlignment="1" applyBorder="1" applyFont="1">
      <alignment horizontal="center" vertical="center"/>
    </xf>
    <xf borderId="0" fillId="0" fontId="6" numFmtId="0" xfId="0" applyFont="1"/>
    <xf borderId="34" fillId="0" fontId="2" numFmtId="0" xfId="0" applyBorder="1" applyFont="1"/>
    <xf borderId="47" fillId="0" fontId="12" numFmtId="0" xfId="0" applyAlignment="1" applyBorder="1" applyFont="1">
      <alignment horizontal="left" vertical="center"/>
    </xf>
    <xf borderId="41" fillId="0" fontId="2" numFmtId="0" xfId="0" applyBorder="1" applyFont="1"/>
    <xf borderId="9" fillId="0" fontId="13" numFmtId="0" xfId="0" applyAlignment="1" applyBorder="1" applyFont="1">
      <alignment horizontal="center" vertical="center"/>
    </xf>
    <xf borderId="48" fillId="5" fontId="9" numFmtId="0" xfId="0" applyAlignment="1" applyBorder="1" applyFill="1" applyFont="1">
      <alignment vertical="center"/>
    </xf>
    <xf borderId="9" fillId="0" fontId="10" numFmtId="0" xfId="0" applyAlignment="1" applyBorder="1" applyFont="1">
      <alignment horizontal="center" vertical="center"/>
    </xf>
    <xf borderId="28" fillId="5" fontId="3" numFmtId="0" xfId="0" applyAlignment="1" applyBorder="1" applyFill="1" applyFont="1">
      <alignment vertical="center"/>
    </xf>
    <xf borderId="28" fillId="5" fontId="9" numFmtId="0" xfId="0" applyAlignment="1" applyBorder="1" applyFill="1" applyFont="1">
      <alignment horizontal="center" vertical="center"/>
    </xf>
    <xf borderId="49" fillId="0" fontId="10" numFmtId="0" xfId="0" applyAlignment="1" applyBorder="1" applyFont="1">
      <alignment horizontal="center" vertical="center"/>
    </xf>
    <xf borderId="41" fillId="0" fontId="10" numFmtId="0" xfId="0" applyAlignment="1" applyBorder="1" applyFont="1">
      <alignment horizontal="center" vertical="center"/>
    </xf>
    <xf borderId="19" fillId="5" fontId="3" numFmtId="0" xfId="0" applyAlignment="1" applyBorder="1" applyFill="1" applyFont="1">
      <alignment horizontal="left" vertical="center"/>
    </xf>
    <xf borderId="50" fillId="0" fontId="10" numFmtId="0" xfId="0" applyAlignment="1" applyBorder="1" applyFont="1">
      <alignment horizontal="center" vertical="center"/>
    </xf>
    <xf borderId="26" fillId="5" fontId="14" numFmtId="0" xfId="0" applyAlignment="1" applyBorder="1" applyFill="1" applyFont="1">
      <alignment vertical="center"/>
    </xf>
    <xf borderId="36" fillId="0" fontId="10" numFmtId="0" xfId="0" applyAlignment="1" applyBorder="1" applyFont="1">
      <alignment horizontal="center" vertical="center"/>
    </xf>
    <xf borderId="50" fillId="0" fontId="2" numFmtId="0" xfId="0" applyBorder="1" applyFont="1"/>
    <xf borderId="51" fillId="5" fontId="9" numFmtId="0" xfId="0" applyAlignment="1" applyBorder="1" applyFill="1" applyFont="1">
      <alignment vertical="center"/>
    </xf>
    <xf borderId="52" fillId="5" fontId="3" numFmtId="0" xfId="0" applyAlignment="1" applyBorder="1" applyFill="1" applyFont="1">
      <alignment vertical="center"/>
    </xf>
    <xf borderId="52" fillId="5" fontId="9" numFmtId="0" xfId="0" applyAlignment="1" applyBorder="1" applyFill="1" applyFont="1">
      <alignment horizontal="center" vertical="center"/>
    </xf>
    <xf borderId="14" fillId="6" fontId="3" numFmtId="0" xfId="0" applyAlignment="1" applyBorder="1" applyFill="1" applyFont="1">
      <alignment vertical="center"/>
    </xf>
    <xf borderId="21" fillId="0" fontId="10" numFmtId="0" xfId="0" applyAlignment="1" applyBorder="1" applyFont="1">
      <alignment horizontal="center" vertical="center"/>
    </xf>
    <xf borderId="1" fillId="6" fontId="15" numFmtId="0" xfId="0" applyAlignment="1" applyBorder="1" applyFill="1" applyFont="1">
      <alignment horizontal="left" shrinkToFit="0" wrapText="1"/>
    </xf>
    <xf borderId="16" fillId="6" fontId="3" numFmtId="0" xfId="0" applyAlignment="1" applyBorder="1" applyFill="1" applyFont="1">
      <alignment vertical="center"/>
    </xf>
    <xf borderId="53" fillId="0" fontId="2" numFmtId="0" xfId="0" applyBorder="1" applyFont="1"/>
    <xf borderId="43" fillId="0" fontId="10" numFmtId="0" xfId="0" applyAlignment="1" applyBorder="1" applyFont="1">
      <alignment horizontal="center" vertical="center"/>
    </xf>
    <xf borderId="42" fillId="0" fontId="10" numFmtId="0" xfId="0" applyAlignment="1" applyBorder="1" applyFont="1">
      <alignment horizontal="center" vertical="center"/>
    </xf>
    <xf borderId="44" fillId="6" fontId="3" numFmtId="0" xfId="0" applyAlignment="1" applyBorder="1" applyFill="1" applyFont="1">
      <alignment vertical="center"/>
    </xf>
    <xf borderId="45" fillId="6" fontId="3" numFmtId="0" xfId="0" applyAlignment="1" applyBorder="1" applyFill="1" applyFont="1">
      <alignment vertical="center"/>
    </xf>
    <xf borderId="46" fillId="6" fontId="3" numFmtId="0" xfId="0" applyAlignment="1" applyBorder="1" applyFill="1" applyFont="1">
      <alignment vertical="center"/>
    </xf>
    <xf borderId="20" fillId="7" fontId="8" numFmtId="0" xfId="0" applyAlignment="1" applyBorder="1" applyFill="1" applyFont="1">
      <alignment horizontal="left" vertical="center"/>
    </xf>
    <xf borderId="54" fillId="5" fontId="16" numFmtId="0" xfId="0" applyAlignment="1" applyBorder="1" applyFill="1" applyFont="1">
      <alignment horizontal="center" vertical="center"/>
    </xf>
    <xf borderId="55" fillId="4" fontId="3" numFmtId="0" xfId="0" applyAlignment="1" applyBorder="1" applyFill="1" applyFont="1">
      <alignment horizontal="left" vertical="center"/>
    </xf>
    <xf borderId="56" fillId="0" fontId="2" numFmtId="0" xfId="0" applyBorder="1" applyFont="1"/>
    <xf borderId="57" fillId="0" fontId="2" numFmtId="0" xfId="0" applyBorder="1" applyFont="1"/>
    <xf borderId="55" fillId="4" fontId="3" numFmtId="1" xfId="0" applyAlignment="1" applyBorder="1" applyFill="1" applyFont="1" applyNumberFormat="1">
      <alignment horizontal="center" vertical="center"/>
    </xf>
    <xf borderId="58" fillId="4" fontId="3" numFmtId="164" xfId="0" applyAlignment="1" applyBorder="1" applyFill="1" applyFont="1" applyNumberFormat="1">
      <alignment horizontal="center" vertical="center"/>
    </xf>
    <xf borderId="59" fillId="4" fontId="3" numFmtId="0" xfId="0" applyAlignment="1" applyBorder="1" applyFill="1" applyFont="1">
      <alignment horizontal="center" vertical="center"/>
    </xf>
    <xf borderId="60" fillId="0" fontId="3" numFmtId="0" xfId="0" applyAlignment="1" applyBorder="1" applyFont="1">
      <alignment horizontal="center" vertical="center"/>
    </xf>
    <xf borderId="60" fillId="4" fontId="3" numFmtId="0" xfId="0" applyAlignment="1" applyBorder="1" applyFill="1" applyFont="1">
      <alignment horizontal="center" vertical="center"/>
    </xf>
    <xf borderId="61" fillId="0" fontId="3" numFmtId="0" xfId="0" applyAlignment="1" applyBorder="1" applyFont="1">
      <alignment horizontal="center" vertical="center"/>
    </xf>
    <xf borderId="62" fillId="4" fontId="12" numFmtId="0" xfId="0" applyAlignment="1" applyBorder="1" applyFill="1" applyFont="1">
      <alignment horizontal="center" vertical="center"/>
    </xf>
    <xf borderId="63" fillId="4" fontId="12" numFmtId="0" xfId="0" applyAlignment="1" applyBorder="1" applyFill="1" applyFont="1">
      <alignment horizontal="center" vertical="center"/>
    </xf>
    <xf borderId="64" fillId="4" fontId="3" numFmtId="164" xfId="0" applyAlignment="1" applyBorder="1" applyFill="1" applyFont="1" applyNumberFormat="1">
      <alignment horizontal="center" vertical="center"/>
    </xf>
    <xf borderId="65" fillId="5" fontId="16" numFmtId="0" xfId="0" applyAlignment="1" applyBorder="1" applyFill="1" applyFont="1">
      <alignment horizontal="center" vertical="center"/>
    </xf>
    <xf borderId="0" fillId="0" fontId="17" numFmtId="0" xfId="0" applyAlignment="1" applyFont="1">
      <alignment horizontal="right" vertical="center"/>
    </xf>
    <xf borderId="66" fillId="4" fontId="3" numFmtId="0" xfId="0" applyAlignment="1" applyBorder="1" applyFill="1" applyFont="1">
      <alignment horizontal="center" vertical="center"/>
    </xf>
    <xf borderId="25" fillId="4" fontId="3" numFmtId="164" xfId="0" applyAlignment="1" applyBorder="1" applyFill="1" applyFont="1" applyNumberFormat="1">
      <alignment horizontal="center" vertical="center"/>
    </xf>
    <xf borderId="67" fillId="4" fontId="3" numFmtId="0" xfId="0" applyAlignment="1" applyBorder="1" applyFill="1" applyFont="1">
      <alignment horizontal="center" vertical="center"/>
    </xf>
    <xf borderId="62" fillId="0" fontId="3" numFmtId="0" xfId="0" applyAlignment="1" applyBorder="1" applyFont="1">
      <alignment horizontal="center" vertical="center"/>
    </xf>
    <xf borderId="68" fillId="0" fontId="3" numFmtId="0" xfId="0" applyAlignment="1" applyBorder="1" applyFont="1">
      <alignment horizontal="center" vertical="center"/>
    </xf>
    <xf borderId="62" fillId="4" fontId="3" numFmtId="0" xfId="0" applyAlignment="1" applyBorder="1" applyFill="1" applyFont="1">
      <alignment horizontal="center" vertical="center"/>
    </xf>
    <xf borderId="67" fillId="4" fontId="3" numFmtId="164" xfId="0" applyAlignment="1" applyBorder="1" applyFill="1" applyFont="1" applyNumberFormat="1">
      <alignment horizontal="center" vertical="center"/>
    </xf>
    <xf borderId="55" fillId="4" fontId="3" numFmtId="0" xfId="0" applyAlignment="1" applyBorder="1" applyFill="1" applyFont="1">
      <alignment horizontal="center" vertical="center"/>
    </xf>
    <xf borderId="69" fillId="5" fontId="16" numFmtId="0" xfId="0" applyAlignment="1" applyBorder="1" applyFill="1" applyFont="1">
      <alignment horizontal="center" vertical="center"/>
    </xf>
    <xf borderId="70" fillId="0" fontId="3" numFmtId="0" xfId="0" applyAlignment="1" applyBorder="1" applyFont="1">
      <alignment horizontal="center" vertical="center"/>
    </xf>
    <xf borderId="71" fillId="0" fontId="3" numFmtId="0" xfId="0" applyAlignment="1" applyBorder="1" applyFont="1">
      <alignment horizontal="center" vertical="center"/>
    </xf>
    <xf borderId="72" fillId="5" fontId="16" numFmtId="0" xfId="0" applyAlignment="1" applyBorder="1" applyFill="1" applyFont="1">
      <alignment horizontal="center" vertical="center"/>
    </xf>
    <xf borderId="73" fillId="4" fontId="3" numFmtId="0" xfId="0" applyAlignment="1" applyBorder="1" applyFill="1" applyFont="1">
      <alignment horizontal="left" vertical="center"/>
    </xf>
    <xf borderId="74" fillId="0" fontId="2" numFmtId="0" xfId="0" applyBorder="1" applyFont="1"/>
    <xf borderId="75" fillId="0" fontId="2" numFmtId="0" xfId="0" applyBorder="1" applyFont="1"/>
    <xf borderId="76" fillId="4" fontId="3" numFmtId="1" xfId="0" applyAlignment="1" applyBorder="1" applyFill="1" applyFont="1" applyNumberFormat="1">
      <alignment horizontal="center" vertical="center"/>
    </xf>
    <xf borderId="77" fillId="4" fontId="3" numFmtId="164" xfId="0" applyAlignment="1" applyBorder="1" applyFill="1" applyFont="1" applyNumberFormat="1">
      <alignment horizontal="center" vertical="center"/>
    </xf>
    <xf borderId="77" fillId="4" fontId="3" numFmtId="0" xfId="0" applyAlignment="1" applyBorder="1" applyFill="1" applyFont="1">
      <alignment horizontal="center" vertical="center"/>
    </xf>
    <xf borderId="78" fillId="0" fontId="3" numFmtId="0" xfId="0" applyAlignment="1" applyBorder="1" applyFont="1">
      <alignment horizontal="center" vertical="center"/>
    </xf>
    <xf borderId="77" fillId="0" fontId="3" numFmtId="0" xfId="0" applyAlignment="1" applyBorder="1" applyFont="1">
      <alignment horizontal="center" vertical="center"/>
    </xf>
    <xf borderId="44" fillId="7" fontId="8" numFmtId="0" xfId="0" applyAlignment="1" applyBorder="1" applyFill="1" applyFont="1">
      <alignment horizontal="left" vertical="center"/>
    </xf>
    <xf borderId="45" fillId="7" fontId="8" numFmtId="0" xfId="0" applyAlignment="1" applyBorder="1" applyFill="1" applyFont="1">
      <alignment horizontal="left" vertical="center"/>
    </xf>
    <xf borderId="45" fillId="7" fontId="8" numFmtId="1" xfId="0" applyAlignment="1" applyBorder="1" applyFill="1" applyFont="1" applyNumberFormat="1">
      <alignment horizontal="left" vertical="center"/>
    </xf>
    <xf borderId="79" fillId="7" fontId="8" numFmtId="0" xfId="0" applyAlignment="1" applyBorder="1" applyFill="1" applyFont="1">
      <alignment horizontal="left" vertical="center"/>
    </xf>
    <xf borderId="15" fillId="7" fontId="8" numFmtId="0" xfId="0" applyAlignment="1" applyBorder="1" applyFill="1" applyFont="1">
      <alignment horizontal="left" vertical="center"/>
    </xf>
    <xf borderId="80" fillId="7" fontId="8" numFmtId="0" xfId="0" applyAlignment="1" applyBorder="1" applyFill="1" applyFont="1">
      <alignment horizontal="left" vertical="center"/>
    </xf>
    <xf borderId="82" fillId="7" fontId="8" numFmtId="0" xfId="0" applyAlignment="1" applyBorder="1" applyFill="1" applyFont="1">
      <alignment horizontal="left" vertical="center"/>
    </xf>
    <xf borderId="81" fillId="4" fontId="3" numFmtId="0" xfId="0" applyAlignment="1" applyBorder="1" applyFill="1" applyFont="1">
      <alignment horizontal="left" vertical="center"/>
    </xf>
    <xf borderId="83" fillId="0" fontId="2" numFmtId="0" xfId="0" applyBorder="1" applyFont="1"/>
    <xf borderId="78" fillId="0" fontId="2" numFmtId="0" xfId="0" applyBorder="1" applyFont="1"/>
    <xf borderId="84" fillId="4" fontId="3" numFmtId="0" xfId="0" applyAlignment="1" applyBorder="1" applyFill="1" applyFont="1">
      <alignment horizontal="left" vertical="center"/>
    </xf>
    <xf borderId="85" fillId="0" fontId="2" numFmtId="0" xfId="0" applyBorder="1" applyFont="1"/>
    <xf borderId="86" fillId="0" fontId="2" numFmtId="0" xfId="0" applyBorder="1" applyFont="1"/>
    <xf borderId="87" fillId="4" fontId="3" numFmtId="0" xfId="0" applyAlignment="1" applyBorder="1" applyFill="1" applyFont="1">
      <alignment horizontal="center" vertical="center"/>
    </xf>
    <xf borderId="87" fillId="4" fontId="3" numFmtId="1" xfId="0" applyAlignment="1" applyBorder="1" applyFill="1" applyFont="1" applyNumberFormat="1">
      <alignment horizontal="center" vertical="center"/>
    </xf>
    <xf borderId="88" fillId="4" fontId="3" numFmtId="1" xfId="0" applyAlignment="1" applyBorder="1" applyFill="1" applyFont="1" applyNumberFormat="1">
      <alignment horizontal="center" vertical="center"/>
    </xf>
    <xf borderId="68" fillId="0" fontId="2" numFmtId="0" xfId="0" applyBorder="1" applyFont="1"/>
    <xf borderId="89" fillId="4" fontId="3" numFmtId="164" xfId="0" applyAlignment="1" applyBorder="1" applyFill="1" applyFont="1" applyNumberFormat="1">
      <alignment horizontal="center" vertical="center"/>
    </xf>
    <xf borderId="90" fillId="4" fontId="3" numFmtId="164" xfId="0" applyAlignment="1" applyBorder="1" applyFill="1" applyFont="1" applyNumberFormat="1">
      <alignment horizontal="center" vertical="center"/>
    </xf>
    <xf borderId="91" fillId="0" fontId="3" numFmtId="0" xfId="0" applyAlignment="1" applyBorder="1" applyFont="1">
      <alignment horizontal="center" vertical="center"/>
    </xf>
    <xf borderId="92" fillId="4" fontId="3" numFmtId="0" xfId="0" applyAlignment="1" applyBorder="1" applyFill="1" applyFont="1">
      <alignment horizontal="left" vertical="center"/>
    </xf>
    <xf borderId="93" fillId="0" fontId="2" numFmtId="0" xfId="0" applyBorder="1" applyFont="1"/>
    <xf borderId="61" fillId="0" fontId="2" numFmtId="0" xfId="0" applyBorder="1" applyFont="1"/>
    <xf borderId="17" fillId="4" fontId="3" numFmtId="0" xfId="0" applyAlignment="1" applyBorder="1" applyFill="1" applyFont="1">
      <alignment horizontal="left" vertical="center"/>
    </xf>
    <xf borderId="94" fillId="4" fontId="3" numFmtId="164" xfId="0" applyAlignment="1" applyBorder="1" applyFill="1" applyFont="1" applyNumberFormat="1">
      <alignment horizontal="center" vertical="center"/>
    </xf>
    <xf borderId="95" fillId="0" fontId="2" numFmtId="0" xfId="0" applyBorder="1" applyFont="1"/>
    <xf borderId="62" fillId="4" fontId="3" numFmtId="164" xfId="0" applyAlignment="1" applyBorder="1" applyFill="1" applyFont="1" applyNumberFormat="1">
      <alignment horizontal="center" vertical="center"/>
    </xf>
    <xf borderId="88" fillId="0" fontId="3" numFmtId="0" xfId="0" applyAlignment="1" applyBorder="1" applyFont="1">
      <alignment horizontal="center" vertical="center"/>
    </xf>
    <xf borderId="60" fillId="4" fontId="12" numFmtId="0" xfId="0" applyAlignment="1" applyBorder="1" applyFill="1" applyFont="1">
      <alignment horizontal="center" vertical="center"/>
    </xf>
    <xf borderId="96" fillId="4" fontId="3" numFmtId="14" xfId="0" applyAlignment="1" applyBorder="1" applyFill="1" applyFont="1" applyNumberFormat="1">
      <alignment horizontal="center" vertical="center"/>
    </xf>
    <xf borderId="88" fillId="4" fontId="3" numFmtId="0" xfId="0" applyAlignment="1" applyBorder="1" applyFill="1" applyFont="1">
      <alignment horizontal="center" vertical="center"/>
    </xf>
    <xf borderId="97" fillId="0" fontId="3" numFmtId="0" xfId="0" applyAlignment="1" applyBorder="1" applyFont="1">
      <alignment horizontal="center" vertical="center"/>
    </xf>
    <xf borderId="98" fillId="4" fontId="3" numFmtId="0" xfId="0" applyAlignment="1" applyBorder="1" applyFill="1" applyFont="1">
      <alignment horizontal="center" vertical="center"/>
    </xf>
    <xf borderId="89" fillId="4" fontId="3" numFmtId="14" xfId="0" applyAlignment="1" applyBorder="1" applyFill="1" applyFont="1" applyNumberFormat="1">
      <alignment horizontal="center" vertical="center"/>
    </xf>
    <xf borderId="98" fillId="4" fontId="3" numFmtId="1" xfId="0" applyAlignment="1" applyBorder="1" applyFill="1" applyFont="1" applyNumberFormat="1">
      <alignment horizontal="center" vertical="center"/>
    </xf>
    <xf borderId="99" fillId="4" fontId="3" numFmtId="0" xfId="0" applyAlignment="1" applyBorder="1" applyFill="1" applyFont="1">
      <alignment horizontal="center" vertical="center"/>
    </xf>
    <xf borderId="98" fillId="0" fontId="3" numFmtId="0" xfId="0" applyAlignment="1" applyBorder="1" applyFont="1">
      <alignment horizontal="center" vertical="center"/>
    </xf>
    <xf borderId="77" fillId="4" fontId="12" numFmtId="0" xfId="0" applyAlignment="1" applyBorder="1" applyFill="1" applyFont="1">
      <alignment horizontal="center" vertical="center"/>
    </xf>
    <xf borderId="100" fillId="4" fontId="12" numFmtId="0" xfId="0" applyAlignment="1" applyBorder="1" applyFill="1" applyFont="1">
      <alignment horizontal="center" vertical="center"/>
    </xf>
    <xf borderId="0" fillId="0" fontId="18" numFmtId="0" xfId="0" applyAlignment="1" applyFont="1">
      <alignment horizontal="center" vertical="center"/>
    </xf>
    <xf borderId="0" fillId="0" fontId="10" numFmtId="0" xfId="0" applyAlignment="1" applyFont="1">
      <alignment horizontal="right" vertical="center"/>
    </xf>
    <xf borderId="20" fillId="0" fontId="6" numFmtId="0" xfId="0" applyAlignment="1" applyBorder="1" applyFont="1">
      <alignment horizontal="center" vertical="center"/>
    </xf>
    <xf borderId="0" fillId="0" fontId="19" numFmtId="0" xfId="0" applyFont="1"/>
    <xf borderId="0" fillId="0" fontId="6" numFmtId="0" xfId="0" applyAlignment="1" applyFont="1">
      <alignment horizontal="left" shrinkToFit="0" vertical="center" wrapText="1"/>
    </xf>
    <xf borderId="0" fillId="0" fontId="6" numFmtId="0" xfId="0" applyAlignment="1" applyFont="1">
      <alignment horizontal="left"/>
    </xf>
    <xf borderId="20" fillId="0" fontId="6" numFmtId="0" xfId="0" applyAlignment="1" applyBorder="1" applyFont="1">
      <alignment horizontal="center"/>
    </xf>
    <xf borderId="0" fillId="0" fontId="6" numFmtId="0" xfId="0" applyAlignment="1" applyFont="1">
      <alignment horizontal="center"/>
    </xf>
    <xf borderId="34" fillId="0" fontId="20" numFmtId="0" xfId="0" applyAlignment="1" applyBorder="1" applyFont="1">
      <alignment horizontal="center" vertical="center"/>
    </xf>
    <xf borderId="53" fillId="0" fontId="10" numFmtId="0" xfId="0" applyAlignment="1" applyBorder="1" applyFont="1">
      <alignment vertical="center"/>
    </xf>
    <xf borderId="42" fillId="0" fontId="6" numFmtId="0" xfId="0" applyAlignment="1" applyBorder="1" applyFont="1">
      <alignment horizontal="center" vertical="center"/>
    </xf>
    <xf borderId="101" fillId="5" fontId="3" numFmtId="0" xfId="0" applyAlignment="1" applyBorder="1" applyFill="1" applyFont="1">
      <alignment horizontal="center" vertical="center"/>
    </xf>
    <xf borderId="102" fillId="0" fontId="2" numFmtId="0" xfId="0" applyBorder="1" applyFont="1"/>
    <xf borderId="47" fillId="0" fontId="10" numFmtId="0" xfId="0" applyAlignment="1" applyBorder="1" applyFont="1">
      <alignment vertical="center"/>
    </xf>
    <xf borderId="47" fillId="0" fontId="12" numFmtId="0" xfId="0" applyAlignment="1" applyBorder="1" applyFont="1">
      <alignment horizontal="center" vertical="center"/>
    </xf>
    <xf borderId="47" fillId="0" fontId="8" numFmtId="0" xfId="0" applyAlignment="1" applyBorder="1" applyFont="1">
      <alignment horizontal="center" vertical="center"/>
    </xf>
    <xf borderId="20" fillId="7" fontId="10" numFmtId="0" xfId="0" applyAlignment="1" applyBorder="1" applyFill="1" applyFont="1">
      <alignment horizontal="left" vertical="center"/>
    </xf>
    <xf borderId="54" fillId="5" fontId="21" numFmtId="0" xfId="0" applyAlignment="1" applyBorder="1" applyFill="1" applyFont="1">
      <alignment horizontal="center" vertical="center"/>
    </xf>
    <xf borderId="103" fillId="0" fontId="6" numFmtId="0" xfId="0" applyAlignment="1" applyBorder="1" applyFont="1">
      <alignment horizontal="left" vertical="center"/>
    </xf>
    <xf borderId="103" fillId="0" fontId="2" numFmtId="0" xfId="0" applyBorder="1" applyFont="1"/>
    <xf borderId="104" fillId="0" fontId="2" numFmtId="0" xfId="0" applyBorder="1" applyFont="1"/>
    <xf borderId="105" fillId="0" fontId="6" numFmtId="0" xfId="0" applyAlignment="1" applyBorder="1" applyFont="1">
      <alignment horizontal="center" vertical="center"/>
    </xf>
    <xf borderId="106" fillId="0" fontId="6" numFmtId="0" xfId="0" applyAlignment="1" applyBorder="1" applyFont="1">
      <alignment horizontal="center" vertical="center"/>
    </xf>
    <xf borderId="94" fillId="0" fontId="6" numFmtId="0" xfId="0" applyAlignment="1" applyBorder="1" applyFont="1">
      <alignment horizontal="center" vertical="center"/>
    </xf>
    <xf borderId="65" fillId="5" fontId="21" numFmtId="0" xfId="0" applyAlignment="1" applyBorder="1" applyFill="1" applyFont="1">
      <alignment horizontal="center" vertical="center"/>
    </xf>
    <xf borderId="65" fillId="0" fontId="6" numFmtId="0" xfId="0" applyAlignment="1" applyBorder="1" applyFont="1">
      <alignment horizontal="center" vertical="center"/>
    </xf>
    <xf borderId="27" fillId="0" fontId="6" numFmtId="0" xfId="0" applyAlignment="1" applyBorder="1" applyFont="1">
      <alignment horizontal="center" vertical="center"/>
    </xf>
    <xf borderId="96" fillId="0" fontId="6" numFmtId="0" xfId="0" applyAlignment="1" applyBorder="1" applyFont="1">
      <alignment horizontal="center" vertical="center"/>
    </xf>
    <xf borderId="0" fillId="0" fontId="8" numFmtId="0" xfId="0" applyAlignment="1" applyFont="1">
      <alignment horizontal="left" vertical="center"/>
    </xf>
    <xf borderId="9" fillId="0" fontId="7" numFmtId="0" xfId="0" applyAlignment="1" applyBorder="1" applyFont="1">
      <alignment horizontal="left" vertical="center"/>
    </xf>
    <xf borderId="42" fillId="0" fontId="8" numFmtId="0" xfId="0" applyAlignment="1" applyBorder="1" applyFont="1">
      <alignment horizontal="center" vertical="center"/>
    </xf>
    <xf borderId="20" fillId="0" fontId="7" numFmtId="0" xfId="0" applyAlignment="1" applyBorder="1" applyFont="1">
      <alignment horizontal="center" vertical="center"/>
    </xf>
    <xf borderId="0" fillId="0" fontId="7" numFmtId="0" xfId="0" applyAlignment="1" applyFont="1">
      <alignment horizontal="center"/>
    </xf>
    <xf borderId="20" fillId="0" fontId="7" numFmtId="0" xfId="0" applyAlignment="1" applyBorder="1" applyFont="1">
      <alignment horizontal="left" vertical="center"/>
    </xf>
    <xf borderId="0" fillId="0" fontId="7" numFmtId="0" xfId="0" applyAlignment="1" applyFont="1">
      <alignment vertical="center"/>
    </xf>
    <xf borderId="76" fillId="3" fontId="7" numFmtId="0" xfId="0" applyAlignment="1" applyBorder="1" applyFill="1" applyFont="1">
      <alignment horizontal="center" vertical="center"/>
    </xf>
    <xf borderId="107" fillId="0" fontId="2" numFmtId="0" xfId="0" applyBorder="1" applyFont="1"/>
    <xf borderId="9" fillId="0" fontId="8" numFmtId="0" xfId="0" applyAlignment="1" applyBorder="1" applyFont="1">
      <alignment horizontal="center" vertical="center"/>
    </xf>
    <xf borderId="20" fillId="0" fontId="8" numFmtId="0" xfId="0" applyAlignment="1" applyBorder="1" applyFont="1">
      <alignment horizontal="center" vertical="center"/>
    </xf>
    <xf borderId="9" fillId="5" fontId="7" numFmtId="0" xfId="0" applyAlignment="1" applyBorder="1" applyFill="1" applyFont="1">
      <alignment horizontal="center" vertical="center"/>
    </xf>
    <xf borderId="34" fillId="0" fontId="8" numFmtId="0" xfId="0" applyAlignment="1" applyBorder="1" applyFont="1">
      <alignment horizontal="center" vertical="center"/>
    </xf>
    <xf borderId="10" fillId="0" fontId="8" numFmtId="0" xfId="0" applyAlignment="1" applyBorder="1" applyFont="1">
      <alignment horizontal="center" vertical="center"/>
    </xf>
    <xf borderId="54" fillId="5" fontId="22" numFmtId="0" xfId="0" applyAlignment="1" applyBorder="1" applyFill="1" applyFont="1">
      <alignment horizontal="center" vertical="center"/>
    </xf>
    <xf borderId="103" fillId="0" fontId="7" numFmtId="0" xfId="0" applyAlignment="1" applyBorder="1" applyFont="1">
      <alignment horizontal="left" vertical="center"/>
    </xf>
    <xf borderId="91" fillId="0" fontId="7" numFmtId="0" xfId="0" applyAlignment="1" applyBorder="1" applyFont="1">
      <alignment horizontal="center"/>
    </xf>
    <xf borderId="69" fillId="5" fontId="21" numFmtId="0" xfId="0" applyAlignment="1" applyBorder="1" applyFill="1" applyFont="1">
      <alignment horizontal="center" vertical="center"/>
    </xf>
    <xf borderId="108" fillId="0" fontId="2" numFmtId="0" xfId="0" applyBorder="1" applyFont="1"/>
    <xf borderId="9" fillId="0" fontId="7" numFmtId="0" xfId="0" applyAlignment="1" applyBorder="1" applyFont="1">
      <alignment horizontal="center" vertical="center"/>
    </xf>
    <xf borderId="109" fillId="0" fontId="2" numFmtId="0" xfId="0" applyBorder="1" applyFont="1"/>
    <xf borderId="93" fillId="0" fontId="8" numFmtId="0" xfId="0" applyAlignment="1" applyBorder="1" applyFont="1">
      <alignment horizontal="center"/>
    </xf>
    <xf borderId="91" fillId="0" fontId="8" numFmtId="0" xfId="0" applyAlignment="1" applyBorder="1" applyFont="1">
      <alignment horizontal="center"/>
    </xf>
    <xf borderId="65" fillId="5" fontId="22" numFmtId="0" xfId="0" applyAlignment="1" applyBorder="1" applyFill="1" applyFont="1">
      <alignment horizontal="center" vertical="center"/>
    </xf>
    <xf borderId="88" fillId="0" fontId="7" numFmtId="0" xfId="0" applyAlignment="1" applyBorder="1" applyFont="1">
      <alignment horizontal="center"/>
    </xf>
    <xf borderId="88" fillId="0" fontId="7" numFmtId="0" xfId="0" applyAlignment="1" applyBorder="1" applyFont="1">
      <alignment horizontal="center" vertical="center"/>
    </xf>
    <xf borderId="95" fillId="0" fontId="8" numFmtId="0" xfId="0" applyAlignment="1" applyBorder="1" applyFont="1">
      <alignment horizontal="center"/>
    </xf>
    <xf borderId="88" fillId="0" fontId="8" numFmtId="0" xfId="0" applyAlignment="1" applyBorder="1" applyFont="1">
      <alignment horizontal="center"/>
    </xf>
    <xf borderId="9" fillId="0" fontId="7" numFmtId="0" xfId="0" applyBorder="1" applyFont="1"/>
    <xf borderId="10" fillId="0" fontId="7" numFmtId="0" xfId="0" applyBorder="1" applyFont="1"/>
    <xf borderId="11" fillId="0" fontId="7" numFmtId="0" xfId="0" applyBorder="1" applyFont="1"/>
    <xf borderId="34" fillId="0" fontId="23" numFmtId="0" xfId="0" applyBorder="1" applyFont="1"/>
    <xf borderId="0" fillId="0" fontId="23" numFmtId="0" xfId="0" applyFont="1"/>
    <xf borderId="36" fillId="0" fontId="23" numFmtId="0" xfId="0" applyBorder="1" applyFont="1"/>
    <xf borderId="36" fillId="0" fontId="7" numFmtId="0" xfId="0" applyBorder="1" applyFont="1"/>
    <xf borderId="34" fillId="0" fontId="23" numFmtId="0" xfId="0" applyAlignment="1" applyBorder="1" applyFont="1">
      <alignment horizontal="center"/>
    </xf>
    <xf borderId="0" fillId="0" fontId="23" numFmtId="0" xfId="0" applyAlignment="1" applyFont="1">
      <alignment horizontal="center"/>
    </xf>
    <xf borderId="36" fillId="0" fontId="23" numFmtId="0" xfId="0" applyAlignment="1" applyBorder="1" applyFont="1">
      <alignment horizontal="center"/>
    </xf>
    <xf borderId="27" fillId="0" fontId="24" numFmtId="0" xfId="0" applyAlignment="1" applyBorder="1" applyFont="1">
      <alignment horizontal="center" vertical="center"/>
    </xf>
    <xf borderId="110" fillId="0" fontId="6" numFmtId="0" xfId="0" applyAlignment="1" applyBorder="1" applyFont="1">
      <alignment horizontal="center" vertical="center"/>
    </xf>
    <xf borderId="111" fillId="0" fontId="6" numFmtId="0" xfId="0" applyAlignment="1" applyBorder="1" applyFont="1">
      <alignment horizontal="center" vertical="center"/>
    </xf>
    <xf borderId="89" fillId="0" fontId="6" numFmtId="0" xfId="0" applyAlignment="1" applyBorder="1" applyFont="1">
      <alignment horizontal="center" vertical="center"/>
    </xf>
    <xf borderId="34" fillId="0" fontId="7" numFmtId="0" xfId="0" applyBorder="1" applyFont="1"/>
    <xf borderId="112" fillId="7" fontId="10" numFmtId="0" xfId="0" applyAlignment="1" applyBorder="1" applyFill="1" applyFont="1">
      <alignment horizontal="left" vertical="center"/>
    </xf>
    <xf borderId="111" fillId="0" fontId="24" numFmtId="0" xfId="0" applyAlignment="1" applyBorder="1" applyFont="1">
      <alignment horizontal="center" shrinkToFit="0" vertical="center" wrapText="1"/>
    </xf>
    <xf borderId="79" fillId="7" fontId="10" numFmtId="0" xfId="0" applyAlignment="1" applyBorder="1" applyFill="1" applyFont="1">
      <alignment horizontal="left" vertical="center"/>
    </xf>
    <xf borderId="113" fillId="7" fontId="10" numFmtId="0" xfId="0" applyAlignment="1" applyBorder="1" applyFill="1" applyFont="1">
      <alignment horizontal="left" vertical="center"/>
    </xf>
    <xf borderId="111" fillId="0" fontId="23" numFmtId="0" xfId="0" applyAlignment="1" applyBorder="1" applyFont="1">
      <alignment horizontal="center" vertical="center"/>
    </xf>
    <xf borderId="111" fillId="0" fontId="24" numFmtId="0" xfId="0" applyAlignment="1" applyBorder="1" applyFont="1">
      <alignment horizontal="center" vertical="center"/>
    </xf>
    <xf borderId="114" fillId="0" fontId="2" numFmtId="0" xfId="0" applyBorder="1" applyFont="1"/>
    <xf borderId="34" fillId="0" fontId="24" numFmtId="0" xfId="0" applyAlignment="1" applyBorder="1" applyFont="1">
      <alignment horizontal="center"/>
    </xf>
    <xf borderId="0" fillId="0" fontId="24" numFmtId="0" xfId="0" applyAlignment="1" applyFont="1">
      <alignment horizontal="center"/>
    </xf>
    <xf borderId="111" fillId="0" fontId="25" numFmtId="0" xfId="0" applyAlignment="1" applyBorder="1" applyFont="1">
      <alignment horizontal="center" vertical="center"/>
    </xf>
    <xf borderId="0" fillId="0" fontId="26" numFmtId="0" xfId="0" applyAlignment="1" applyFont="1">
      <alignment horizontal="center"/>
    </xf>
    <xf borderId="0" fillId="0" fontId="27" numFmtId="0" xfId="0" applyAlignment="1" applyFont="1">
      <alignment horizontal="center" vertical="center"/>
    </xf>
    <xf borderId="36" fillId="0" fontId="23" numFmtId="0" xfId="0" applyAlignment="1" applyBorder="1" applyFont="1">
      <alignment horizontal="left"/>
    </xf>
    <xf borderId="0" fillId="0" fontId="23" numFmtId="0" xfId="0" applyAlignment="1" applyFont="1">
      <alignment horizontal="left"/>
    </xf>
    <xf borderId="34" fillId="0" fontId="23" numFmtId="0" xfId="0" applyAlignment="1" applyBorder="1" applyFont="1">
      <alignment horizontal="left"/>
    </xf>
    <xf borderId="36" fillId="0" fontId="24" numFmtId="0" xfId="0" applyAlignment="1" applyBorder="1" applyFont="1">
      <alignment horizontal="center"/>
    </xf>
    <xf borderId="29" fillId="0" fontId="24" numFmtId="0" xfId="0" applyAlignment="1" applyBorder="1" applyFont="1">
      <alignment vertical="top"/>
    </xf>
    <xf borderId="115" fillId="0" fontId="6" numFmtId="0" xfId="0" applyBorder="1" applyFont="1"/>
    <xf borderId="33" fillId="0" fontId="6" numFmtId="0" xfId="0" applyBorder="1" applyFont="1"/>
    <xf borderId="116" fillId="0" fontId="28" numFmtId="0" xfId="0" applyAlignment="1" applyBorder="1" applyFont="1">
      <alignment horizontal="center" shrinkToFit="0" vertical="center" wrapText="1"/>
    </xf>
    <xf borderId="117" fillId="0" fontId="2" numFmtId="0" xfId="0" applyBorder="1" applyFont="1"/>
    <xf borderId="103" fillId="0" fontId="23" numFmtId="0" xfId="0" applyAlignment="1" applyBorder="1" applyFont="1">
      <alignment horizontal="center" shrinkToFit="0" wrapText="1"/>
    </xf>
    <xf borderId="103" fillId="0" fontId="23" numFmtId="0" xfId="0" applyAlignment="1" applyBorder="1" applyFont="1">
      <alignment horizontal="center"/>
    </xf>
    <xf borderId="36" fillId="0" fontId="23" numFmtId="0" xfId="0" applyAlignment="1" applyBorder="1" applyFont="1">
      <alignment horizontal="right"/>
    </xf>
    <xf borderId="0" fillId="0" fontId="23" numFmtId="0" xfId="0" applyAlignment="1" applyFont="1">
      <alignment horizontal="right"/>
    </xf>
    <xf borderId="116" fillId="0" fontId="2" numFmtId="0" xfId="0" applyBorder="1" applyFont="1"/>
    <xf borderId="95" fillId="0" fontId="23" numFmtId="1" xfId="0" applyAlignment="1" applyBorder="1" applyFont="1" applyNumberFormat="1">
      <alignment horizontal="center"/>
    </xf>
    <xf borderId="95" fillId="0" fontId="23" numFmtId="0" xfId="0" applyBorder="1" applyFont="1"/>
    <xf borderId="95" fillId="0" fontId="6" numFmtId="0" xfId="0" applyBorder="1" applyFont="1"/>
    <xf borderId="0" fillId="0" fontId="26" numFmtId="0" xfId="0" applyFont="1"/>
    <xf borderId="116" fillId="0" fontId="3" numFmtId="0" xfId="0" applyAlignment="1" applyBorder="1" applyFont="1">
      <alignment horizontal="center" shrinkToFit="0" vertical="center" wrapText="1"/>
    </xf>
    <xf borderId="34" fillId="0" fontId="23" numFmtId="0" xfId="0" applyAlignment="1" applyBorder="1" applyFont="1">
      <alignment shrinkToFit="0" wrapText="1"/>
    </xf>
    <xf borderId="0" fillId="0" fontId="23" numFmtId="0" xfId="0" applyAlignment="1" applyFont="1">
      <alignment shrinkToFit="0" wrapText="1"/>
    </xf>
    <xf borderId="36" fillId="0" fontId="23" numFmtId="0" xfId="0" applyAlignment="1" applyBorder="1" applyFont="1">
      <alignment shrinkToFit="0" wrapText="1"/>
    </xf>
    <xf borderId="103" fillId="0" fontId="24" numFmtId="0" xfId="0" applyAlignment="1" applyBorder="1" applyFont="1">
      <alignment horizontal="center"/>
    </xf>
    <xf borderId="103" fillId="0" fontId="29" numFmtId="0" xfId="0" applyAlignment="1" applyBorder="1" applyFont="1">
      <alignment horizontal="center"/>
    </xf>
    <xf borderId="0" fillId="0" fontId="24" numFmtId="0" xfId="0" applyAlignment="1" applyFont="1">
      <alignment horizontal="center" vertical="center"/>
    </xf>
    <xf borderId="34" fillId="0" fontId="24" numFmtId="0" xfId="0" applyAlignment="1" applyBorder="1" applyFont="1">
      <alignment horizontal="center" vertical="center"/>
    </xf>
    <xf borderId="36" fillId="0" fontId="24" numFmtId="0" xfId="0" applyAlignment="1" applyBorder="1" applyFont="1">
      <alignment horizontal="center" vertical="center"/>
    </xf>
    <xf borderId="0" fillId="0" fontId="24" numFmtId="0" xfId="0" applyAlignment="1" applyFont="1">
      <alignment horizontal="right"/>
    </xf>
    <xf borderId="103" fillId="0" fontId="7" numFmtId="0" xfId="0" applyBorder="1" applyFont="1"/>
    <xf borderId="29" fillId="0" fontId="24" numFmtId="0" xfId="0" applyAlignment="1" applyBorder="1" applyFont="1">
      <alignment horizontal="center" vertical="center"/>
    </xf>
    <xf borderId="115" fillId="0" fontId="2" numFmtId="0" xfId="0" applyBorder="1" applyFont="1"/>
    <xf borderId="17" fillId="0" fontId="24" numFmtId="0" xfId="0" applyAlignment="1" applyBorder="1" applyFont="1">
      <alignment horizontal="center" vertical="center"/>
    </xf>
    <xf borderId="34" fillId="0" fontId="30" numFmtId="4" xfId="0" applyAlignment="1" applyBorder="1" applyFont="1" applyNumberFormat="1">
      <alignment horizontal="left" shrinkToFit="0" wrapText="1"/>
    </xf>
    <xf borderId="17" fillId="0" fontId="23" numFmtId="0" xfId="0" applyAlignment="1" applyBorder="1" applyFont="1">
      <alignment shrinkToFit="0" vertical="center" wrapText="1"/>
    </xf>
    <xf borderId="27" fillId="0" fontId="23" numFmtId="0" xfId="0" applyAlignment="1" applyBorder="1" applyFont="1">
      <alignment horizontal="center" vertical="center"/>
    </xf>
    <xf borderId="72" fillId="5" fontId="21" numFmtId="0" xfId="0" applyAlignment="1" applyBorder="1" applyFill="1" applyFont="1">
      <alignment horizontal="center" vertical="center"/>
    </xf>
    <xf borderId="81" fillId="0" fontId="6" numFmtId="0" xfId="0" applyAlignment="1" applyBorder="1" applyFont="1">
      <alignment horizontal="left" vertical="center"/>
    </xf>
    <xf borderId="27" fillId="0" fontId="24" numFmtId="1" xfId="0" applyAlignment="1" applyBorder="1" applyFont="1" applyNumberFormat="1">
      <alignment horizontal="center" vertical="center"/>
    </xf>
    <xf borderId="72" fillId="0" fontId="6" numFmtId="0" xfId="0" applyAlignment="1" applyBorder="1" applyFont="1">
      <alignment horizontal="center" vertical="center"/>
    </xf>
    <xf borderId="118" fillId="0" fontId="6" numFmtId="0" xfId="0" applyAlignment="1" applyBorder="1" applyFont="1">
      <alignment horizontal="center" vertical="center"/>
    </xf>
    <xf borderId="17" fillId="0" fontId="23" numFmtId="0" xfId="0" applyAlignment="1" applyBorder="1" applyFont="1">
      <alignment horizontal="center" vertical="center"/>
    </xf>
    <xf borderId="17" fillId="0" fontId="30" numFmtId="4" xfId="0" applyAlignment="1" applyBorder="1" applyFont="1" applyNumberFormat="1">
      <alignment shrinkToFit="0" vertical="center" wrapText="1"/>
    </xf>
    <xf borderId="9" fillId="0" fontId="31" numFmtId="0" xfId="0" applyAlignment="1" applyBorder="1" applyFont="1">
      <alignment horizontal="center" shrinkToFit="0" vertical="center" wrapText="1"/>
    </xf>
    <xf borderId="47" fillId="0" fontId="31" numFmtId="0" xfId="0" applyAlignment="1" applyBorder="1" applyFont="1">
      <alignment horizontal="center" vertical="center"/>
    </xf>
    <xf borderId="47" fillId="0" fontId="3" numFmtId="0" xfId="0" applyAlignment="1" applyBorder="1" applyFont="1">
      <alignment horizontal="center" vertical="center"/>
    </xf>
    <xf borderId="103" fillId="0" fontId="23" numFmtId="0" xfId="0" applyBorder="1" applyFont="1"/>
    <xf borderId="27" fillId="0" fontId="30" numFmtId="3" xfId="0" applyAlignment="1" applyBorder="1" applyFont="1" applyNumberFormat="1">
      <alignment horizontal="center" shrinkToFit="0" vertical="center" wrapText="1"/>
    </xf>
    <xf borderId="34" fillId="0" fontId="32" numFmtId="4" xfId="0" applyAlignment="1" applyBorder="1" applyFont="1" applyNumberFormat="1">
      <alignment horizontal="left" shrinkToFit="0" wrapText="1"/>
    </xf>
    <xf borderId="17" fillId="0" fontId="33" numFmtId="4" xfId="0" applyAlignment="1" applyBorder="1" applyFont="1" applyNumberFormat="1">
      <alignment horizontal="left" shrinkToFit="0" vertical="center" wrapText="1"/>
    </xf>
    <xf borderId="34" fillId="0" fontId="34" numFmtId="4" xfId="0" applyAlignment="1" applyBorder="1" applyFont="1" applyNumberFormat="1">
      <alignment horizontal="center" shrinkToFit="0" wrapText="1"/>
    </xf>
    <xf borderId="0" fillId="0" fontId="29" numFmtId="0" xfId="0" applyAlignment="1" applyFont="1">
      <alignment horizontal="center"/>
    </xf>
    <xf borderId="115" fillId="0" fontId="23" numFmtId="0" xfId="0" applyAlignment="1" applyBorder="1" applyFont="1">
      <alignment horizontal="center" vertical="top"/>
    </xf>
    <xf borderId="17" fillId="0" fontId="35" numFmtId="4" xfId="0" applyAlignment="1" applyBorder="1" applyFont="1" applyNumberFormat="1">
      <alignment horizontal="left" shrinkToFit="0" vertical="center" wrapText="1"/>
    </xf>
    <xf borderId="0" fillId="0" fontId="23" numFmtId="0" xfId="0" applyAlignment="1" applyFont="1">
      <alignment horizontal="center" vertical="top"/>
    </xf>
    <xf borderId="29" fillId="0" fontId="36" numFmtId="4" xfId="0" applyAlignment="1" applyBorder="1" applyFont="1" applyNumberFormat="1">
      <alignment horizontal="right" shrinkToFit="0" vertical="center" wrapText="1"/>
    </xf>
    <xf borderId="111" fillId="0" fontId="29" numFmtId="3" xfId="0" applyAlignment="1" applyBorder="1" applyFont="1" applyNumberFormat="1">
      <alignment horizontal="center" shrinkToFit="0" vertical="center" wrapText="1"/>
    </xf>
    <xf borderId="29" fillId="0" fontId="26" numFmtId="4" xfId="0" applyAlignment="1" applyBorder="1" applyFont="1" applyNumberFormat="1">
      <alignment horizontal="center" shrinkToFit="0" vertical="center" wrapText="1"/>
    </xf>
    <xf borderId="34" fillId="0" fontId="37" numFmtId="0" xfId="0" applyAlignment="1" applyBorder="1" applyFont="1">
      <alignment horizontal="center"/>
    </xf>
    <xf borderId="34" fillId="0" fontId="24" numFmtId="0" xfId="0" applyBorder="1" applyFont="1"/>
    <xf borderId="0" fillId="0" fontId="24" numFmtId="0" xfId="0" applyFont="1"/>
    <xf borderId="36" fillId="0" fontId="6" numFmtId="0" xfId="0" applyBorder="1" applyFont="1"/>
    <xf borderId="41" fillId="0" fontId="7" numFmtId="0" xfId="0" applyBorder="1" applyFont="1"/>
    <xf borderId="42" fillId="0" fontId="7" numFmtId="0" xfId="0" applyBorder="1" applyFont="1"/>
    <xf borderId="43" fillId="0" fontId="7" numFmtId="0" xfId="0" applyBorder="1" applyFont="1"/>
    <xf borderId="69" fillId="5" fontId="22" numFmtId="0" xfId="0" applyAlignment="1" applyBorder="1" applyFill="1" applyFont="1">
      <alignment horizontal="center" vertical="center"/>
    </xf>
    <xf borderId="0" fillId="0" fontId="38" numFmtId="0" xfId="0" applyFont="1"/>
    <xf borderId="98" fillId="0" fontId="7" numFmtId="0" xfId="0" applyAlignment="1" applyBorder="1" applyFont="1">
      <alignment horizontal="center"/>
    </xf>
    <xf borderId="119" fillId="0" fontId="2" numFmtId="0" xfId="0" applyBorder="1" applyFont="1"/>
    <xf borderId="98" fillId="0" fontId="7" numFmtId="0" xfId="0" applyAlignment="1" applyBorder="1" applyFont="1">
      <alignment horizontal="center" vertical="center"/>
    </xf>
    <xf borderId="83" fillId="0" fontId="8" numFmtId="0" xfId="0" applyAlignment="1" applyBorder="1" applyFont="1">
      <alignment horizontal="center"/>
    </xf>
    <xf borderId="98" fillId="0" fontId="8" numFmtId="0" xfId="0" applyAlignment="1" applyBorder="1" applyFont="1">
      <alignment horizontal="center"/>
    </xf>
    <xf borderId="120" fillId="0" fontId="7" numFmtId="0" xfId="0" applyAlignment="1" applyBorder="1" applyFont="1">
      <alignment horizontal="center"/>
    </xf>
    <xf borderId="34" fillId="0" fontId="7" numFmtId="0" xfId="0" applyAlignment="1" applyBorder="1" applyFont="1">
      <alignment horizontal="center" vertical="center"/>
    </xf>
    <xf borderId="103" fillId="0" fontId="8" numFmtId="0" xfId="0" applyAlignment="1" applyBorder="1" applyFont="1">
      <alignment horizontal="center"/>
    </xf>
    <xf borderId="120" fillId="0" fontId="8" numFmtId="0" xfId="0" applyAlignment="1" applyBorder="1" applyFont="1">
      <alignment horizontal="center"/>
    </xf>
    <xf borderId="72" fillId="5" fontId="22" numFmtId="0" xfId="0" applyAlignment="1" applyBorder="1" applyFill="1" applyFont="1">
      <alignment horizontal="center" vertical="center"/>
    </xf>
    <xf borderId="121" fillId="0" fontId="7" numFmtId="0" xfId="0" applyAlignment="1" applyBorder="1" applyFont="1">
      <alignment horizontal="left" vertical="center"/>
    </xf>
    <xf borderId="41" fillId="0" fontId="7" numFmtId="0" xfId="0" applyAlignment="1" applyBorder="1" applyFont="1">
      <alignment horizontal="center"/>
    </xf>
    <xf borderId="42" fillId="0" fontId="8" numFmtId="0" xfId="0" applyAlignment="1" applyBorder="1" applyFont="1">
      <alignment horizontal="center"/>
    </xf>
    <xf borderId="41" fillId="0" fontId="8"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542925</xdr:colOff>
      <xdr:row>0</xdr:row>
      <xdr:rowOff>66675</xdr:rowOff>
    </xdr:from>
    <xdr:ext cx="657225" cy="657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57150</xdr:rowOff>
    </xdr:from>
    <xdr:ext cx="885825"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428625</xdr:colOff>
      <xdr:row>0</xdr:row>
      <xdr:rowOff>142875</xdr:rowOff>
    </xdr:from>
    <xdr:ext cx="1381125" cy="704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438150</xdr:colOff>
      <xdr:row>2</xdr:row>
      <xdr:rowOff>152400</xdr:rowOff>
    </xdr:from>
    <xdr:ext cx="1285875" cy="13716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min" id="{a3293d6e-e942-4175-9c84-6d40c3c0c62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1" dT="2026-09-07T06:12:54.00" personId="{a3293d6e-e942-4175-9c84-6d40c3c0c621}" id="{abe13e60-fbff-4d4b-b9d0-94d4b248b78b}" done="0">
    <x18tc:text xml:space="preserve">TYPE DD/MM/YYYY FORMAT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3" dT="2026-09-07T06:12:54.00" personId="{a3293d6e-e942-4175-9c84-6d40c3c0c621}" id="{f0b8cc4e-965b-42be-8076-b853b120ace1}" done="0">
    <x18tc:text xml:space="preserve">CHANGE FONT COLOR BLACK TO APPEAR</x18tc:text>
  </x18tc:threadedComment>
  <x18tc:threadedComment ref="B42" dT="2026-09-07T06:12:54.00" personId="{a3293d6e-e942-4175-9c84-6d40c3c0c621}" id="{a780e85f-4aa7-4ce9-a922-630efd56aacd}" done="0">
    <x18tc:text xml:space="preserve">CHANGE FONT COLOR TO BLACK IF MAY KOREAN SUBJECT
DELETE THIS CELL IF NO KOREAN SUBJECT</x18tc:text>
  </x18tc:threadedComment>
  <x18tc:threadedComment ref="AC9" dT="2026-09-07T06:12:54.00" personId="{a3293d6e-e942-4175-9c84-6d40c3c0c621}" id="{cd2e25c6-277d-4fe3-8e96-7de8c79fe228}" done="0">
    <x18tc:text xml:space="preserve">CHANGE FONT TO BLACK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7.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1" t="s">
        <v>0</v>
      </c>
      <c r="B1" s="2"/>
      <c r="C1" s="2"/>
      <c r="D1" s="2"/>
      <c r="E1" s="2"/>
      <c r="F1" s="2"/>
      <c r="G1" s="2"/>
      <c r="H1" s="2"/>
      <c r="I1" s="2"/>
      <c r="J1" s="2"/>
      <c r="K1" s="2"/>
      <c r="L1" s="2"/>
      <c r="M1" s="2"/>
      <c r="N1" s="2"/>
      <c r="O1" s="2"/>
      <c r="P1" s="2"/>
      <c r="Q1" s="2"/>
      <c r="R1" s="2"/>
      <c r="S1" s="2"/>
      <c r="T1" s="2"/>
      <c r="U1" s="3"/>
      <c r="V1" s="4"/>
      <c r="W1" s="4"/>
      <c r="X1" s="4"/>
      <c r="Y1" s="4"/>
      <c r="Z1" s="4"/>
      <c r="AA1" s="4"/>
      <c r="AB1" s="4"/>
      <c r="AC1" s="4"/>
      <c r="AD1" s="4"/>
    </row>
    <row r="2" ht="15.75" customHeight="1">
      <c r="A2" s="5"/>
      <c r="U2" s="6"/>
      <c r="V2" s="4"/>
      <c r="W2" s="4"/>
      <c r="X2" s="4"/>
      <c r="Y2" s="4"/>
      <c r="Z2" s="4"/>
      <c r="AA2" s="4"/>
      <c r="AB2" s="4"/>
      <c r="AC2" s="4"/>
      <c r="AD2" s="4"/>
    </row>
    <row r="3" ht="15.75" customHeight="1">
      <c r="A3" s="5"/>
      <c r="U3" s="6"/>
      <c r="V3" s="4"/>
      <c r="W3" s="4"/>
      <c r="X3" s="4"/>
      <c r="Y3" s="4"/>
      <c r="Z3" s="4"/>
      <c r="AA3" s="4"/>
      <c r="AB3" s="4"/>
      <c r="AC3" s="4"/>
      <c r="AD3" s="4"/>
    </row>
    <row r="4" ht="15.75" customHeight="1">
      <c r="A4" s="5"/>
      <c r="U4" s="6"/>
      <c r="V4" s="4"/>
      <c r="W4" s="4"/>
      <c r="X4" s="4"/>
      <c r="Y4" s="4"/>
      <c r="Z4" s="4"/>
      <c r="AA4" s="4"/>
      <c r="AB4" s="4"/>
      <c r="AC4" s="4"/>
      <c r="AD4" s="4"/>
    </row>
    <row r="5" ht="15.75" customHeight="1">
      <c r="A5" s="7"/>
      <c r="B5" s="8"/>
      <c r="C5" s="8"/>
      <c r="D5" s="8"/>
      <c r="E5" s="8"/>
      <c r="F5" s="8"/>
      <c r="G5" s="8"/>
      <c r="H5" s="8"/>
      <c r="I5" s="8"/>
      <c r="J5" s="8"/>
      <c r="K5" s="8"/>
      <c r="L5" s="8"/>
      <c r="M5" s="8"/>
      <c r="N5" s="8"/>
      <c r="O5" s="8"/>
      <c r="P5" s="8"/>
      <c r="Q5" s="8"/>
      <c r="R5" s="8"/>
      <c r="S5" s="8"/>
      <c r="T5" s="8"/>
      <c r="U5" s="9"/>
      <c r="V5" s="4"/>
      <c r="W5" s="4"/>
      <c r="X5" s="4"/>
      <c r="Y5" s="4"/>
      <c r="Z5" s="4"/>
      <c r="AA5" s="4"/>
      <c r="AB5" s="4"/>
      <c r="AC5" s="4"/>
      <c r="AD5" s="4"/>
    </row>
    <row r="6" ht="15.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ht="15.75" customHeight="1">
      <c r="A7" s="4"/>
      <c r="B7" s="11" t="s">
        <v>2</v>
      </c>
      <c r="C7" s="12"/>
      <c r="D7" s="12"/>
      <c r="E7" s="12"/>
      <c r="F7" s="12"/>
      <c r="G7" s="12"/>
      <c r="H7" s="14"/>
      <c r="I7" s="4"/>
      <c r="J7" s="11" t="s">
        <v>3</v>
      </c>
      <c r="K7" s="12"/>
      <c r="L7" s="12"/>
      <c r="M7" s="12"/>
      <c r="N7" s="12"/>
      <c r="O7" s="12"/>
      <c r="P7" s="12"/>
      <c r="Q7" s="12"/>
      <c r="R7" s="12"/>
      <c r="S7" s="12"/>
      <c r="T7" s="14"/>
      <c r="U7" s="4"/>
      <c r="V7" s="4"/>
      <c r="W7" s="4"/>
      <c r="X7" s="4"/>
      <c r="Y7" s="4"/>
      <c r="Z7" s="4"/>
      <c r="AA7" s="4"/>
      <c r="AB7" s="4"/>
      <c r="AC7" s="4"/>
      <c r="AD7" s="4"/>
    </row>
    <row r="8" ht="15.75" customHeight="1">
      <c r="A8" s="4"/>
      <c r="B8" s="16"/>
      <c r="C8" s="8"/>
      <c r="D8" s="8"/>
      <c r="E8" s="8"/>
      <c r="F8" s="8"/>
      <c r="G8" s="8"/>
      <c r="H8" s="18"/>
      <c r="I8" s="4"/>
      <c r="J8" s="16"/>
      <c r="K8" s="8"/>
      <c r="L8" s="8"/>
      <c r="M8" s="8"/>
      <c r="N8" s="8"/>
      <c r="O8" s="8"/>
      <c r="P8" s="8"/>
      <c r="Q8" s="8"/>
      <c r="R8" s="8"/>
      <c r="S8" s="8"/>
      <c r="T8" s="18"/>
      <c r="U8" s="4"/>
      <c r="V8" s="4"/>
      <c r="W8" s="4"/>
      <c r="X8" s="4"/>
      <c r="Y8" s="4"/>
      <c r="Z8" s="4"/>
      <c r="AA8" s="4"/>
      <c r="AB8" s="4"/>
      <c r="AC8" s="4"/>
      <c r="AD8" s="4"/>
    </row>
    <row r="9" ht="15.75" customHeight="1">
      <c r="A9" s="4"/>
      <c r="B9" s="22"/>
      <c r="C9" s="23"/>
      <c r="D9" s="23"/>
      <c r="E9" s="23"/>
      <c r="F9" s="23"/>
      <c r="G9" s="23"/>
      <c r="H9" s="24"/>
      <c r="I9" s="4"/>
      <c r="J9" s="22"/>
      <c r="K9" s="23"/>
      <c r="L9" s="23"/>
      <c r="M9" s="23"/>
      <c r="N9" s="23"/>
      <c r="O9" s="23"/>
      <c r="P9" s="23"/>
      <c r="Q9" s="23"/>
      <c r="R9" s="23"/>
      <c r="S9" s="23"/>
      <c r="T9" s="24"/>
      <c r="U9" s="4"/>
      <c r="V9" s="4"/>
      <c r="W9" s="4"/>
      <c r="X9" s="4"/>
      <c r="Y9" s="4"/>
      <c r="Z9" s="4"/>
      <c r="AA9" s="4"/>
      <c r="AB9" s="4"/>
      <c r="AC9" s="4"/>
      <c r="AD9" s="4"/>
    </row>
    <row r="10" ht="15.75" customHeight="1">
      <c r="A10" s="4"/>
      <c r="B10" s="22"/>
      <c r="C10" s="25" t="s">
        <v>5</v>
      </c>
      <c r="D10" s="26"/>
      <c r="E10" s="27" t="s">
        <v>6</v>
      </c>
      <c r="F10" s="32" t="s">
        <v>7</v>
      </c>
      <c r="G10" s="33"/>
      <c r="H10" s="24"/>
      <c r="I10" s="4"/>
      <c r="J10" s="22"/>
      <c r="K10" s="34" t="s">
        <v>9</v>
      </c>
      <c r="L10" s="35"/>
      <c r="M10" s="36" t="s">
        <v>10</v>
      </c>
      <c r="N10" s="36" t="s">
        <v>11</v>
      </c>
      <c r="O10" s="23"/>
      <c r="P10" s="34" t="s">
        <v>12</v>
      </c>
      <c r="Q10" s="38"/>
      <c r="R10" s="36" t="s">
        <v>10</v>
      </c>
      <c r="S10" s="36" t="s">
        <v>11</v>
      </c>
      <c r="T10" s="24"/>
      <c r="U10" s="4"/>
      <c r="V10" s="4"/>
      <c r="W10" s="4"/>
      <c r="X10" s="4"/>
      <c r="Y10" s="4"/>
      <c r="Z10" s="4"/>
      <c r="AA10" s="4"/>
      <c r="AB10" s="4"/>
      <c r="AC10" s="4"/>
      <c r="AD10" s="4"/>
    </row>
    <row r="11" ht="15.75" customHeight="1">
      <c r="A11" s="4"/>
      <c r="B11" s="22"/>
      <c r="C11" s="25" t="s">
        <v>8</v>
      </c>
      <c r="D11" s="26"/>
      <c r="E11" s="27" t="s">
        <v>6</v>
      </c>
      <c r="F11" s="40" t="s">
        <v>14</v>
      </c>
      <c r="G11" s="41"/>
      <c r="H11" s="24"/>
      <c r="I11" s="4"/>
      <c r="J11" s="22"/>
      <c r="K11" s="42">
        <v>1.0</v>
      </c>
      <c r="L11" s="43" t="s">
        <v>15</v>
      </c>
      <c r="M11" s="44">
        <v>1.23456789012E11</v>
      </c>
      <c r="N11" s="45">
        <v>40355.0</v>
      </c>
      <c r="O11" s="23"/>
      <c r="P11" s="42">
        <v>1.0</v>
      </c>
      <c r="Q11" s="43"/>
      <c r="R11" s="44"/>
      <c r="S11" s="45"/>
      <c r="T11" s="24"/>
      <c r="U11" s="4"/>
      <c r="V11" s="4"/>
      <c r="W11" s="4"/>
      <c r="X11" s="4"/>
      <c r="Y11" s="4"/>
      <c r="Z11" s="4"/>
      <c r="AA11" s="4"/>
      <c r="AB11" s="4"/>
      <c r="AC11" s="4"/>
      <c r="AD11" s="4"/>
    </row>
    <row r="12" ht="15.75" customHeight="1">
      <c r="A12" s="4"/>
      <c r="B12" s="22"/>
      <c r="C12" s="25" t="s">
        <v>17</v>
      </c>
      <c r="D12" s="26"/>
      <c r="E12" s="27" t="s">
        <v>6</v>
      </c>
      <c r="F12" s="40" t="s">
        <v>18</v>
      </c>
      <c r="G12" s="41"/>
      <c r="H12" s="24"/>
      <c r="I12" s="4"/>
      <c r="J12" s="22"/>
      <c r="K12" s="42">
        <v>2.0</v>
      </c>
      <c r="L12" s="43" t="s">
        <v>19</v>
      </c>
      <c r="M12" s="44">
        <v>2.0</v>
      </c>
      <c r="N12" s="45">
        <v>40574.0</v>
      </c>
      <c r="O12" s="23"/>
      <c r="P12" s="42">
        <v>2.0</v>
      </c>
      <c r="Q12" s="43"/>
      <c r="R12" s="44"/>
      <c r="S12" s="46"/>
      <c r="T12" s="24"/>
      <c r="U12" s="4"/>
      <c r="V12" s="4"/>
      <c r="W12" s="4"/>
      <c r="X12" s="4"/>
      <c r="Y12" s="4"/>
      <c r="Z12" s="4"/>
      <c r="AA12" s="4"/>
      <c r="AB12" s="4"/>
      <c r="AC12" s="4"/>
      <c r="AD12" s="4"/>
    </row>
    <row r="13" ht="15.75" customHeight="1">
      <c r="A13" s="4"/>
      <c r="B13" s="22"/>
      <c r="C13" s="25" t="s">
        <v>20</v>
      </c>
      <c r="D13" s="26"/>
      <c r="E13" s="27" t="s">
        <v>6</v>
      </c>
      <c r="F13" s="40" t="s">
        <v>21</v>
      </c>
      <c r="G13" s="41"/>
      <c r="H13" s="24"/>
      <c r="I13" s="4"/>
      <c r="J13" s="22"/>
      <c r="K13" s="42">
        <v>3.0</v>
      </c>
      <c r="L13" s="43"/>
      <c r="M13" s="44"/>
      <c r="N13" s="45"/>
      <c r="O13" s="23"/>
      <c r="P13" s="42">
        <v>3.0</v>
      </c>
      <c r="Q13" s="43"/>
      <c r="R13" s="44"/>
      <c r="S13" s="45"/>
      <c r="T13" s="24"/>
      <c r="U13" s="4"/>
      <c r="V13" s="4"/>
      <c r="W13" s="4"/>
      <c r="X13" s="4"/>
      <c r="Y13" s="4"/>
      <c r="Z13" s="4"/>
      <c r="AA13" s="4"/>
      <c r="AB13" s="4"/>
      <c r="AC13" s="4"/>
      <c r="AD13" s="4"/>
    </row>
    <row r="14" ht="15.75" customHeight="1">
      <c r="A14" s="4"/>
      <c r="B14" s="22"/>
      <c r="C14" s="23"/>
      <c r="D14" s="23"/>
      <c r="E14" s="23"/>
      <c r="F14" s="23"/>
      <c r="G14" s="23"/>
      <c r="H14" s="24"/>
      <c r="I14" s="4"/>
      <c r="J14" s="22"/>
      <c r="K14" s="42">
        <v>4.0</v>
      </c>
      <c r="L14" s="43"/>
      <c r="M14" s="44"/>
      <c r="N14" s="50"/>
      <c r="O14" s="23"/>
      <c r="P14" s="42">
        <v>4.0</v>
      </c>
      <c r="Q14" s="43"/>
      <c r="R14" s="51"/>
      <c r="S14" s="52"/>
      <c r="T14" s="24"/>
      <c r="U14" s="4"/>
      <c r="V14" s="4"/>
      <c r="W14" s="4"/>
      <c r="X14" s="4"/>
      <c r="Y14" s="4"/>
      <c r="Z14" s="4"/>
      <c r="AA14" s="4"/>
      <c r="AB14" s="4"/>
      <c r="AC14" s="4"/>
      <c r="AD14" s="4"/>
    </row>
    <row r="15" ht="15.75" customHeight="1">
      <c r="A15" s="4"/>
      <c r="B15" s="22"/>
      <c r="C15" s="25" t="s">
        <v>16</v>
      </c>
      <c r="D15" s="26"/>
      <c r="E15" s="27" t="s">
        <v>6</v>
      </c>
      <c r="F15" s="55">
        <v>305434.0</v>
      </c>
      <c r="G15" s="56"/>
      <c r="H15" s="24"/>
      <c r="I15" s="4"/>
      <c r="J15" s="22"/>
      <c r="K15" s="42">
        <v>5.0</v>
      </c>
      <c r="L15" s="43"/>
      <c r="M15" s="44"/>
      <c r="N15" s="46"/>
      <c r="O15" s="23"/>
      <c r="P15" s="42">
        <v>5.0</v>
      </c>
      <c r="Q15" s="43"/>
      <c r="R15" s="51"/>
      <c r="S15" s="58"/>
      <c r="T15" s="24"/>
      <c r="U15" s="4"/>
      <c r="V15" s="4"/>
      <c r="W15" s="4"/>
      <c r="X15" s="4"/>
      <c r="Y15" s="4"/>
      <c r="Z15" s="4"/>
      <c r="AA15" s="4"/>
      <c r="AB15" s="4"/>
      <c r="AC15" s="4"/>
      <c r="AD15" s="4"/>
    </row>
    <row r="16" ht="15.75" customHeight="1">
      <c r="A16" s="4"/>
      <c r="B16" s="22"/>
      <c r="C16" s="59" t="s">
        <v>13</v>
      </c>
      <c r="D16" s="60"/>
      <c r="E16" s="62" t="s">
        <v>6</v>
      </c>
      <c r="F16" s="63" t="s">
        <v>23</v>
      </c>
      <c r="G16" s="64"/>
      <c r="H16" s="24"/>
      <c r="I16" s="4"/>
      <c r="J16" s="22"/>
      <c r="K16" s="42">
        <v>6.0</v>
      </c>
      <c r="L16" s="43"/>
      <c r="M16" s="51"/>
      <c r="N16" s="58"/>
      <c r="O16" s="23"/>
      <c r="P16" s="42">
        <v>6.0</v>
      </c>
      <c r="Q16" s="43"/>
      <c r="R16" s="51"/>
      <c r="S16" s="58"/>
      <c r="T16" s="24"/>
      <c r="U16" s="4"/>
      <c r="V16" s="4"/>
      <c r="W16" s="4"/>
      <c r="X16" s="4"/>
      <c r="Y16" s="4"/>
      <c r="Z16" s="4"/>
      <c r="AA16" s="4"/>
      <c r="AB16" s="4"/>
      <c r="AC16" s="4"/>
      <c r="AD16" s="4"/>
    </row>
    <row r="17" ht="15.75" customHeight="1">
      <c r="A17" s="4"/>
      <c r="B17" s="22"/>
      <c r="C17" s="66"/>
      <c r="D17" s="67"/>
      <c r="E17" s="69"/>
      <c r="F17" s="70"/>
      <c r="G17" s="71"/>
      <c r="H17" s="24"/>
      <c r="I17" s="4"/>
      <c r="J17" s="22"/>
      <c r="K17" s="42">
        <v>7.0</v>
      </c>
      <c r="L17" s="43"/>
      <c r="M17" s="51"/>
      <c r="N17" s="58"/>
      <c r="O17" s="23"/>
      <c r="P17" s="42">
        <v>7.0</v>
      </c>
      <c r="Q17" s="43"/>
      <c r="R17" s="51"/>
      <c r="S17" s="58"/>
      <c r="T17" s="24"/>
      <c r="U17" s="4"/>
      <c r="V17" s="4"/>
      <c r="W17" s="4"/>
      <c r="X17" s="4"/>
      <c r="Y17" s="4"/>
      <c r="Z17" s="4"/>
      <c r="AA17" s="4"/>
      <c r="AB17" s="4"/>
      <c r="AC17" s="4"/>
      <c r="AD17" s="4"/>
    </row>
    <row r="18" ht="15.75" customHeight="1">
      <c r="A18" s="4"/>
      <c r="B18" s="22"/>
      <c r="C18" s="25" t="s">
        <v>22</v>
      </c>
      <c r="D18" s="26"/>
      <c r="E18" s="27" t="s">
        <v>6</v>
      </c>
      <c r="F18" s="73" t="s">
        <v>27</v>
      </c>
      <c r="G18" s="33"/>
      <c r="H18" s="24"/>
      <c r="I18" s="4"/>
      <c r="J18" s="22"/>
      <c r="K18" s="42">
        <v>8.0</v>
      </c>
      <c r="L18" s="43"/>
      <c r="M18" s="51"/>
      <c r="N18" s="58"/>
      <c r="O18" s="23"/>
      <c r="P18" s="42">
        <v>8.0</v>
      </c>
      <c r="Q18" s="43"/>
      <c r="R18" s="51"/>
      <c r="S18" s="58"/>
      <c r="T18" s="24"/>
      <c r="U18" s="4"/>
      <c r="V18" s="4"/>
      <c r="W18" s="4"/>
      <c r="X18" s="4"/>
      <c r="Y18" s="4"/>
      <c r="Z18" s="4"/>
      <c r="AA18" s="4"/>
      <c r="AB18" s="4"/>
      <c r="AC18" s="4"/>
      <c r="AD18" s="4"/>
    </row>
    <row r="19" ht="15.75" customHeight="1">
      <c r="A19" s="4"/>
      <c r="B19" s="22"/>
      <c r="C19" s="25" t="s">
        <v>28</v>
      </c>
      <c r="D19" s="26"/>
      <c r="E19" s="27" t="s">
        <v>6</v>
      </c>
      <c r="F19" s="32" t="s">
        <v>29</v>
      </c>
      <c r="G19" s="33"/>
      <c r="H19" s="24"/>
      <c r="I19" s="4"/>
      <c r="J19" s="22"/>
      <c r="K19" s="42">
        <v>9.0</v>
      </c>
      <c r="L19" s="43"/>
      <c r="M19" s="51"/>
      <c r="N19" s="58"/>
      <c r="O19" s="23"/>
      <c r="P19" s="42">
        <v>9.0</v>
      </c>
      <c r="Q19" s="43"/>
      <c r="R19" s="51"/>
      <c r="S19" s="58"/>
      <c r="T19" s="24"/>
      <c r="U19" s="4"/>
      <c r="V19" s="4"/>
      <c r="W19" s="4"/>
      <c r="X19" s="4"/>
      <c r="Y19" s="4"/>
      <c r="Z19" s="4"/>
      <c r="AA19" s="4"/>
      <c r="AB19" s="4"/>
      <c r="AC19" s="4"/>
      <c r="AD19" s="4"/>
    </row>
    <row r="20" ht="15.75" customHeight="1">
      <c r="A20" s="4"/>
      <c r="B20" s="78"/>
      <c r="C20" s="79"/>
      <c r="D20" s="79"/>
      <c r="E20" s="79"/>
      <c r="F20" s="79"/>
      <c r="G20" s="79"/>
      <c r="H20" s="80"/>
      <c r="I20" s="4"/>
      <c r="J20" s="22"/>
      <c r="K20" s="42">
        <v>10.0</v>
      </c>
      <c r="L20" s="43"/>
      <c r="M20" s="51"/>
      <c r="N20" s="58"/>
      <c r="O20" s="23"/>
      <c r="P20" s="42">
        <v>10.0</v>
      </c>
      <c r="Q20" s="43"/>
      <c r="R20" s="51"/>
      <c r="S20" s="58"/>
      <c r="T20" s="24"/>
      <c r="U20" s="4"/>
      <c r="V20" s="4"/>
      <c r="W20" s="4"/>
      <c r="X20" s="4"/>
      <c r="Y20" s="4"/>
      <c r="Z20" s="4"/>
      <c r="AA20" s="4"/>
      <c r="AB20" s="4"/>
      <c r="AC20" s="4"/>
      <c r="AD20" s="4"/>
    </row>
    <row r="21" ht="15.75" customHeight="1">
      <c r="A21" s="82"/>
      <c r="B21" s="82"/>
      <c r="C21" s="82"/>
      <c r="D21" s="82"/>
      <c r="E21" s="82"/>
      <c r="F21" s="82"/>
      <c r="G21" s="82"/>
      <c r="H21" s="82"/>
      <c r="I21" s="4"/>
      <c r="J21" s="22"/>
      <c r="K21" s="42">
        <v>11.0</v>
      </c>
      <c r="L21" s="43"/>
      <c r="M21" s="51"/>
      <c r="N21" s="58"/>
      <c r="O21" s="23"/>
      <c r="P21" s="42">
        <v>11.0</v>
      </c>
      <c r="Q21" s="43"/>
      <c r="R21" s="51"/>
      <c r="S21" s="58"/>
      <c r="T21" s="24"/>
      <c r="U21" s="4"/>
      <c r="V21" s="4"/>
      <c r="W21" s="4"/>
      <c r="X21" s="4"/>
      <c r="Y21" s="4"/>
      <c r="Z21" s="4"/>
      <c r="AA21" s="4"/>
      <c r="AB21" s="4"/>
      <c r="AC21" s="4"/>
      <c r="AD21" s="4"/>
    </row>
    <row r="22" ht="15.75" customHeight="1">
      <c r="A22" s="82"/>
      <c r="B22" s="82"/>
      <c r="C22" s="82"/>
      <c r="D22" s="82"/>
      <c r="E22" s="82"/>
      <c r="F22" s="82"/>
      <c r="G22" s="82"/>
      <c r="H22" s="82"/>
      <c r="I22" s="4"/>
      <c r="J22" s="22"/>
      <c r="K22" s="42">
        <v>12.0</v>
      </c>
      <c r="L22" s="43"/>
      <c r="M22" s="51"/>
      <c r="N22" s="58"/>
      <c r="O22" s="23"/>
      <c r="P22" s="42">
        <v>12.0</v>
      </c>
      <c r="Q22" s="43"/>
      <c r="R22" s="51"/>
      <c r="S22" s="58"/>
      <c r="T22" s="24"/>
      <c r="U22" s="4"/>
      <c r="V22" s="4"/>
      <c r="W22" s="4"/>
      <c r="X22" s="4"/>
      <c r="Y22" s="4"/>
      <c r="Z22" s="4"/>
      <c r="AA22" s="4"/>
      <c r="AB22" s="4"/>
      <c r="AC22" s="4"/>
      <c r="AD22" s="4"/>
    </row>
    <row r="23" ht="15.75" customHeight="1">
      <c r="A23" s="4"/>
      <c r="B23" s="11" t="s">
        <v>32</v>
      </c>
      <c r="C23" s="12"/>
      <c r="D23" s="12"/>
      <c r="E23" s="12"/>
      <c r="F23" s="12"/>
      <c r="G23" s="12"/>
      <c r="H23" s="14"/>
      <c r="I23" s="4"/>
      <c r="J23" s="22"/>
      <c r="K23" s="42">
        <v>13.0</v>
      </c>
      <c r="L23" s="43"/>
      <c r="M23" s="51"/>
      <c r="N23" s="58"/>
      <c r="O23" s="23"/>
      <c r="P23" s="42">
        <v>13.0</v>
      </c>
      <c r="Q23" s="43"/>
      <c r="R23" s="51"/>
      <c r="S23" s="58"/>
      <c r="T23" s="24"/>
      <c r="U23" s="4"/>
      <c r="V23" s="4"/>
      <c r="W23" s="4"/>
      <c r="X23" s="4"/>
      <c r="Y23" s="4"/>
      <c r="Z23" s="4"/>
      <c r="AA23" s="4"/>
      <c r="AB23" s="4"/>
      <c r="AC23" s="4"/>
      <c r="AD23" s="4"/>
    </row>
    <row r="24" ht="15.75" customHeight="1">
      <c r="A24" s="4"/>
      <c r="B24" s="16"/>
      <c r="C24" s="8"/>
      <c r="D24" s="8"/>
      <c r="E24" s="8"/>
      <c r="F24" s="8"/>
      <c r="G24" s="8"/>
      <c r="H24" s="18"/>
      <c r="I24" s="4"/>
      <c r="J24" s="22"/>
      <c r="K24" s="42">
        <v>14.0</v>
      </c>
      <c r="L24" s="43"/>
      <c r="M24" s="51"/>
      <c r="N24" s="58"/>
      <c r="O24" s="23"/>
      <c r="P24" s="42">
        <v>14.0</v>
      </c>
      <c r="Q24" s="43"/>
      <c r="R24" s="51"/>
      <c r="S24" s="58"/>
      <c r="T24" s="24"/>
      <c r="U24" s="4"/>
      <c r="V24" s="4"/>
      <c r="W24" s="4"/>
      <c r="X24" s="4"/>
      <c r="Y24" s="4"/>
      <c r="Z24" s="4"/>
      <c r="AA24" s="4"/>
      <c r="AB24" s="4"/>
      <c r="AC24" s="4"/>
      <c r="AD24" s="4"/>
    </row>
    <row r="25" ht="15.75" customHeight="1">
      <c r="A25" s="4"/>
      <c r="B25" s="22"/>
      <c r="C25" s="23"/>
      <c r="D25" s="23"/>
      <c r="E25" s="23"/>
      <c r="F25" s="23"/>
      <c r="G25" s="23"/>
      <c r="H25" s="24"/>
      <c r="I25" s="4"/>
      <c r="J25" s="22"/>
      <c r="K25" s="42">
        <v>15.0</v>
      </c>
      <c r="L25" s="43"/>
      <c r="M25" s="51"/>
      <c r="N25" s="58"/>
      <c r="O25" s="23"/>
      <c r="P25" s="42">
        <v>15.0</v>
      </c>
      <c r="Q25" s="43"/>
      <c r="R25" s="51"/>
      <c r="S25" s="58"/>
      <c r="T25" s="24"/>
      <c r="U25" s="4"/>
      <c r="V25" s="4"/>
      <c r="W25" s="4"/>
      <c r="X25" s="4"/>
      <c r="Y25" s="4"/>
      <c r="Z25" s="4"/>
      <c r="AA25" s="4"/>
      <c r="AB25" s="4"/>
      <c r="AC25" s="4"/>
      <c r="AD25" s="4"/>
    </row>
    <row r="26" ht="15.75" customHeight="1">
      <c r="A26" s="4"/>
      <c r="B26" s="22"/>
      <c r="C26" s="87" t="s">
        <v>30</v>
      </c>
      <c r="D26" s="89"/>
      <c r="E26" s="90" t="s">
        <v>6</v>
      </c>
      <c r="F26" s="32" t="s">
        <v>35</v>
      </c>
      <c r="G26" s="33"/>
      <c r="H26" s="24"/>
      <c r="I26" s="4"/>
      <c r="J26" s="22"/>
      <c r="K26" s="42">
        <v>16.0</v>
      </c>
      <c r="L26" s="43"/>
      <c r="M26" s="51"/>
      <c r="N26" s="58"/>
      <c r="O26" s="23"/>
      <c r="P26" s="42">
        <v>16.0</v>
      </c>
      <c r="Q26" s="43"/>
      <c r="R26" s="51"/>
      <c r="S26" s="58"/>
      <c r="T26" s="24"/>
      <c r="U26" s="4"/>
      <c r="V26" s="4"/>
      <c r="W26" s="4"/>
      <c r="X26" s="4"/>
      <c r="Y26" s="4"/>
      <c r="Z26" s="4"/>
      <c r="AA26" s="4"/>
      <c r="AB26" s="4"/>
      <c r="AC26" s="4"/>
      <c r="AD26" s="4"/>
    </row>
    <row r="27" ht="15.75" customHeight="1">
      <c r="A27" s="4"/>
      <c r="B27" s="22"/>
      <c r="C27" s="25" t="s">
        <v>25</v>
      </c>
      <c r="D27" s="26"/>
      <c r="E27" s="27" t="s">
        <v>6</v>
      </c>
      <c r="F27" s="93">
        <v>10.0</v>
      </c>
      <c r="G27" s="95" t="s">
        <v>40</v>
      </c>
      <c r="H27" s="24"/>
      <c r="I27" s="4"/>
      <c r="J27" s="22"/>
      <c r="K27" s="42">
        <v>17.0</v>
      </c>
      <c r="L27" s="43"/>
      <c r="M27" s="51"/>
      <c r="N27" s="58"/>
      <c r="O27" s="23"/>
      <c r="P27" s="42">
        <v>17.0</v>
      </c>
      <c r="Q27" s="43"/>
      <c r="R27" s="51"/>
      <c r="S27" s="58"/>
      <c r="T27" s="24"/>
      <c r="U27" s="4"/>
      <c r="V27" s="4"/>
      <c r="W27" s="4"/>
      <c r="X27" s="4"/>
      <c r="Y27" s="4"/>
      <c r="Z27" s="4"/>
      <c r="AA27" s="4"/>
      <c r="AB27" s="4"/>
      <c r="AC27" s="4"/>
      <c r="AD27" s="4"/>
    </row>
    <row r="28" ht="15.75" customHeight="1">
      <c r="A28" s="4"/>
      <c r="B28" s="22"/>
      <c r="C28" s="98" t="s">
        <v>31</v>
      </c>
      <c r="D28" s="99"/>
      <c r="E28" s="100" t="s">
        <v>6</v>
      </c>
      <c r="F28" s="32" t="s">
        <v>44</v>
      </c>
      <c r="G28" s="33"/>
      <c r="H28" s="24"/>
      <c r="I28" s="4"/>
      <c r="J28" s="22"/>
      <c r="K28" s="42">
        <v>18.0</v>
      </c>
      <c r="L28" s="43"/>
      <c r="M28" s="51"/>
      <c r="N28" s="58"/>
      <c r="O28" s="23"/>
      <c r="P28" s="42">
        <v>18.0</v>
      </c>
      <c r="Q28" s="43"/>
      <c r="R28" s="51"/>
      <c r="S28" s="58"/>
      <c r="T28" s="24"/>
      <c r="U28" s="4"/>
      <c r="V28" s="4"/>
      <c r="W28" s="4"/>
      <c r="X28" s="4"/>
      <c r="Y28" s="4"/>
      <c r="Z28" s="4"/>
      <c r="AA28" s="4"/>
      <c r="AB28" s="4"/>
      <c r="AC28" s="4"/>
      <c r="AD28" s="4"/>
    </row>
    <row r="29" ht="15.75" customHeight="1">
      <c r="A29" s="4"/>
      <c r="B29" s="22"/>
      <c r="C29" s="23"/>
      <c r="D29" s="23"/>
      <c r="E29" s="23"/>
      <c r="F29" s="23"/>
      <c r="G29" s="23"/>
      <c r="H29" s="24"/>
      <c r="I29" s="4"/>
      <c r="J29" s="22"/>
      <c r="K29" s="42">
        <v>19.0</v>
      </c>
      <c r="L29" s="43"/>
      <c r="M29" s="51"/>
      <c r="N29" s="58"/>
      <c r="O29" s="23"/>
      <c r="P29" s="42">
        <v>19.0</v>
      </c>
      <c r="Q29" s="43"/>
      <c r="R29" s="51"/>
      <c r="S29" s="58"/>
      <c r="T29" s="24"/>
      <c r="U29" s="4"/>
      <c r="V29" s="4"/>
      <c r="W29" s="4"/>
      <c r="X29" s="4"/>
      <c r="Y29" s="4"/>
      <c r="Z29" s="4"/>
      <c r="AA29" s="4"/>
      <c r="AB29" s="4"/>
      <c r="AC29" s="4"/>
      <c r="AD29" s="4"/>
    </row>
    <row r="30" ht="15.75" customHeight="1">
      <c r="A30" s="4"/>
      <c r="B30" s="101"/>
      <c r="C30" s="103" t="s">
        <v>51</v>
      </c>
      <c r="D30" s="2"/>
      <c r="E30" s="2"/>
      <c r="F30" s="2"/>
      <c r="G30" s="3"/>
      <c r="H30" s="104"/>
      <c r="I30" s="4"/>
      <c r="J30" s="22"/>
      <c r="K30" s="42">
        <v>20.0</v>
      </c>
      <c r="L30" s="43"/>
      <c r="M30" s="51"/>
      <c r="N30" s="58"/>
      <c r="O30" s="23"/>
      <c r="P30" s="42">
        <v>20.0</v>
      </c>
      <c r="Q30" s="43"/>
      <c r="R30" s="51"/>
      <c r="S30" s="58"/>
      <c r="T30" s="24"/>
      <c r="U30" s="4"/>
      <c r="V30" s="4"/>
      <c r="W30" s="4"/>
      <c r="X30" s="4"/>
      <c r="Y30" s="4"/>
      <c r="Z30" s="4"/>
      <c r="AA30" s="4"/>
      <c r="AB30" s="4"/>
      <c r="AC30" s="4"/>
      <c r="AD30" s="4"/>
    </row>
    <row r="31" ht="15.75" customHeight="1">
      <c r="A31" s="4"/>
      <c r="B31" s="101"/>
      <c r="C31" s="5"/>
      <c r="G31" s="6"/>
      <c r="H31" s="104"/>
      <c r="I31" s="4"/>
      <c r="J31" s="22"/>
      <c r="K31" s="42">
        <v>21.0</v>
      </c>
      <c r="L31" s="43"/>
      <c r="M31" s="51"/>
      <c r="N31" s="58"/>
      <c r="O31" s="23"/>
      <c r="P31" s="42">
        <v>21.0</v>
      </c>
      <c r="Q31" s="43"/>
      <c r="R31" s="51"/>
      <c r="S31" s="58"/>
      <c r="T31" s="24"/>
      <c r="U31" s="4"/>
      <c r="V31" s="4"/>
      <c r="W31" s="4"/>
      <c r="X31" s="4"/>
      <c r="Y31" s="4"/>
      <c r="Z31" s="4"/>
      <c r="AA31" s="4"/>
      <c r="AB31" s="4"/>
      <c r="AC31" s="4"/>
      <c r="AD31" s="4"/>
    </row>
    <row r="32" ht="15.75" customHeight="1">
      <c r="A32" s="4"/>
      <c r="B32" s="101"/>
      <c r="C32" s="7"/>
      <c r="D32" s="8"/>
      <c r="E32" s="8"/>
      <c r="F32" s="8"/>
      <c r="G32" s="9"/>
      <c r="H32" s="104"/>
      <c r="I32" s="4"/>
      <c r="J32" s="22"/>
      <c r="K32" s="42">
        <v>22.0</v>
      </c>
      <c r="L32" s="43"/>
      <c r="M32" s="51"/>
      <c r="N32" s="58"/>
      <c r="O32" s="23"/>
      <c r="P32" s="42">
        <v>22.0</v>
      </c>
      <c r="Q32" s="43"/>
      <c r="R32" s="51"/>
      <c r="S32" s="58"/>
      <c r="T32" s="24"/>
      <c r="U32" s="4"/>
      <c r="V32" s="4"/>
      <c r="W32" s="4"/>
      <c r="X32" s="4"/>
      <c r="Y32" s="4"/>
      <c r="Z32" s="4"/>
      <c r="AA32" s="4"/>
      <c r="AB32" s="4"/>
      <c r="AC32" s="4"/>
      <c r="AD32" s="4"/>
    </row>
    <row r="33" ht="15.75" customHeight="1">
      <c r="A33" s="4"/>
      <c r="B33" s="108"/>
      <c r="C33" s="109"/>
      <c r="D33" s="109"/>
      <c r="E33" s="109"/>
      <c r="F33" s="109"/>
      <c r="G33" s="109"/>
      <c r="H33" s="110"/>
      <c r="I33" s="4"/>
      <c r="J33" s="22"/>
      <c r="K33" s="42">
        <v>23.0</v>
      </c>
      <c r="L33" s="43"/>
      <c r="M33" s="51"/>
      <c r="N33" s="58"/>
      <c r="O33" s="23"/>
      <c r="P33" s="42">
        <v>23.0</v>
      </c>
      <c r="Q33" s="43"/>
      <c r="R33" s="51"/>
      <c r="S33" s="58"/>
      <c r="T33" s="24"/>
      <c r="U33" s="4"/>
      <c r="V33" s="4"/>
      <c r="W33" s="4"/>
      <c r="X33" s="4"/>
      <c r="Y33" s="4"/>
      <c r="Z33" s="4"/>
      <c r="AA33" s="4"/>
      <c r="AB33" s="4"/>
      <c r="AC33" s="4"/>
      <c r="AD33" s="4"/>
    </row>
    <row r="34" ht="15.75" customHeight="1">
      <c r="A34" s="4"/>
      <c r="B34" s="4"/>
      <c r="C34" s="4"/>
      <c r="D34" s="4"/>
      <c r="E34" s="4"/>
      <c r="F34" s="4"/>
      <c r="G34" s="4"/>
      <c r="H34" s="4"/>
      <c r="I34" s="4"/>
      <c r="J34" s="22"/>
      <c r="K34" s="42">
        <v>24.0</v>
      </c>
      <c r="L34" s="43"/>
      <c r="M34" s="51"/>
      <c r="N34" s="58"/>
      <c r="O34" s="23"/>
      <c r="P34" s="42">
        <v>24.0</v>
      </c>
      <c r="Q34" s="43"/>
      <c r="R34" s="51"/>
      <c r="S34" s="58"/>
      <c r="T34" s="24"/>
      <c r="U34" s="4"/>
      <c r="V34" s="4"/>
      <c r="W34" s="4"/>
      <c r="X34" s="4"/>
      <c r="Y34" s="4"/>
      <c r="Z34" s="4"/>
      <c r="AA34" s="4"/>
      <c r="AB34" s="4"/>
      <c r="AC34" s="4"/>
      <c r="AD34" s="4"/>
    </row>
    <row r="35" ht="15.75" customHeight="1">
      <c r="A35" s="4"/>
      <c r="B35" s="4"/>
      <c r="C35" s="4"/>
      <c r="D35" s="4"/>
      <c r="E35" s="4"/>
      <c r="F35" s="4"/>
      <c r="G35" s="4"/>
      <c r="H35" s="4"/>
      <c r="I35" s="4"/>
      <c r="J35" s="22"/>
      <c r="K35" s="42">
        <v>25.0</v>
      </c>
      <c r="L35" s="43"/>
      <c r="M35" s="51"/>
      <c r="N35" s="58"/>
      <c r="O35" s="23"/>
      <c r="P35" s="42">
        <v>25.0</v>
      </c>
      <c r="Q35" s="43"/>
      <c r="R35" s="51"/>
      <c r="S35" s="58"/>
      <c r="T35" s="24"/>
      <c r="U35" s="4"/>
      <c r="V35" s="4"/>
      <c r="W35" s="4"/>
      <c r="X35" s="4"/>
      <c r="Y35" s="4"/>
      <c r="Z35" s="4"/>
      <c r="AA35" s="4"/>
      <c r="AB35" s="4"/>
      <c r="AC35" s="4"/>
      <c r="AD35" s="4"/>
    </row>
    <row r="36" ht="15.75" customHeight="1">
      <c r="A36" s="4"/>
      <c r="B36" s="4"/>
      <c r="C36" s="4"/>
      <c r="D36" s="4"/>
      <c r="E36" s="4"/>
      <c r="F36" s="4"/>
      <c r="G36" s="4"/>
      <c r="H36" s="4"/>
      <c r="I36" s="4"/>
      <c r="J36" s="22"/>
      <c r="K36" s="42">
        <v>26.0</v>
      </c>
      <c r="L36" s="43"/>
      <c r="M36" s="51"/>
      <c r="N36" s="58"/>
      <c r="O36" s="23"/>
      <c r="P36" s="42">
        <v>26.0</v>
      </c>
      <c r="Q36" s="43"/>
      <c r="R36" s="51"/>
      <c r="S36" s="58"/>
      <c r="T36" s="24"/>
      <c r="U36" s="4"/>
      <c r="V36" s="4"/>
      <c r="W36" s="4"/>
      <c r="X36" s="4"/>
      <c r="Y36" s="4"/>
      <c r="Z36" s="4"/>
      <c r="AA36" s="4"/>
      <c r="AB36" s="4"/>
      <c r="AC36" s="4"/>
      <c r="AD36" s="4"/>
    </row>
    <row r="37" ht="15.75" customHeight="1">
      <c r="A37" s="4"/>
      <c r="B37" s="4"/>
      <c r="C37" s="4"/>
      <c r="D37" s="4"/>
      <c r="E37" s="4"/>
      <c r="F37" s="4"/>
      <c r="G37" s="4"/>
      <c r="H37" s="4"/>
      <c r="I37" s="4"/>
      <c r="J37" s="22"/>
      <c r="K37" s="42">
        <v>27.0</v>
      </c>
      <c r="L37" s="43"/>
      <c r="M37" s="51"/>
      <c r="N37" s="58"/>
      <c r="O37" s="23"/>
      <c r="P37" s="42">
        <v>27.0</v>
      </c>
      <c r="Q37" s="43"/>
      <c r="R37" s="51"/>
      <c r="S37" s="58"/>
      <c r="T37" s="24"/>
      <c r="U37" s="4"/>
      <c r="V37" s="4"/>
      <c r="W37" s="4"/>
      <c r="X37" s="4"/>
      <c r="Y37" s="4"/>
      <c r="Z37" s="4"/>
      <c r="AA37" s="4"/>
      <c r="AB37" s="4"/>
      <c r="AC37" s="4"/>
      <c r="AD37" s="4"/>
    </row>
    <row r="38" ht="15.75" customHeight="1">
      <c r="A38" s="4"/>
      <c r="B38" s="4"/>
      <c r="C38" s="4"/>
      <c r="D38" s="4"/>
      <c r="E38" s="4"/>
      <c r="F38" s="4"/>
      <c r="G38" s="4"/>
      <c r="H38" s="4"/>
      <c r="I38" s="4"/>
      <c r="J38" s="22"/>
      <c r="K38" s="42">
        <v>28.0</v>
      </c>
      <c r="L38" s="43"/>
      <c r="M38" s="51"/>
      <c r="N38" s="58"/>
      <c r="O38" s="23"/>
      <c r="P38" s="42">
        <v>28.0</v>
      </c>
      <c r="Q38" s="43"/>
      <c r="R38" s="51"/>
      <c r="S38" s="58"/>
      <c r="T38" s="24"/>
      <c r="U38" s="4"/>
      <c r="V38" s="4"/>
      <c r="W38" s="4"/>
      <c r="X38" s="4"/>
      <c r="Y38" s="4"/>
      <c r="Z38" s="4"/>
      <c r="AA38" s="4"/>
      <c r="AB38" s="4"/>
      <c r="AC38" s="4"/>
      <c r="AD38" s="4"/>
    </row>
    <row r="39" ht="15.75" customHeight="1">
      <c r="A39" s="4"/>
      <c r="B39" s="4"/>
      <c r="C39" s="4"/>
      <c r="D39" s="4"/>
      <c r="E39" s="4"/>
      <c r="F39" s="4"/>
      <c r="G39" s="4"/>
      <c r="H39" s="4"/>
      <c r="I39" s="4"/>
      <c r="J39" s="22"/>
      <c r="K39" s="42">
        <v>29.0</v>
      </c>
      <c r="L39" s="43"/>
      <c r="M39" s="51"/>
      <c r="N39" s="58"/>
      <c r="O39" s="23"/>
      <c r="P39" s="42">
        <v>29.0</v>
      </c>
      <c r="Q39" s="43"/>
      <c r="R39" s="51"/>
      <c r="S39" s="58"/>
      <c r="T39" s="24"/>
      <c r="U39" s="4"/>
      <c r="V39" s="4"/>
      <c r="W39" s="4"/>
      <c r="X39" s="4"/>
      <c r="Y39" s="4"/>
      <c r="Z39" s="4"/>
      <c r="AA39" s="4"/>
      <c r="AB39" s="4"/>
      <c r="AC39" s="4"/>
      <c r="AD39" s="4"/>
    </row>
    <row r="40" ht="15.75" customHeight="1">
      <c r="A40" s="4"/>
      <c r="B40" s="4"/>
      <c r="C40" s="4"/>
      <c r="D40" s="4"/>
      <c r="E40" s="4"/>
      <c r="F40" s="4"/>
      <c r="G40" s="4"/>
      <c r="H40" s="4"/>
      <c r="I40" s="4"/>
      <c r="J40" s="22"/>
      <c r="K40" s="42">
        <v>30.0</v>
      </c>
      <c r="L40" s="43"/>
      <c r="M40" s="51"/>
      <c r="N40" s="58"/>
      <c r="O40" s="23"/>
      <c r="P40" s="42">
        <v>30.0</v>
      </c>
      <c r="Q40" s="43"/>
      <c r="R40" s="51"/>
      <c r="S40" s="58"/>
      <c r="T40" s="24"/>
      <c r="U40" s="4"/>
      <c r="V40" s="4"/>
      <c r="W40" s="4"/>
      <c r="X40" s="4"/>
      <c r="Y40" s="4"/>
      <c r="Z40" s="4"/>
      <c r="AA40" s="4"/>
      <c r="AB40" s="4"/>
      <c r="AC40" s="4"/>
      <c r="AD40" s="4"/>
    </row>
    <row r="41" ht="15.75" customHeight="1">
      <c r="A41" s="4"/>
      <c r="B41" s="4"/>
      <c r="C41" s="4"/>
      <c r="D41" s="4"/>
      <c r="E41" s="4"/>
      <c r="F41" s="4"/>
      <c r="G41" s="4"/>
      <c r="H41" s="4"/>
      <c r="I41" s="4"/>
      <c r="J41" s="22"/>
      <c r="K41" s="42">
        <v>31.0</v>
      </c>
      <c r="L41" s="43"/>
      <c r="M41" s="51"/>
      <c r="N41" s="58"/>
      <c r="O41" s="23"/>
      <c r="P41" s="42">
        <v>31.0</v>
      </c>
      <c r="Q41" s="43"/>
      <c r="R41" s="51"/>
      <c r="S41" s="58"/>
      <c r="T41" s="24"/>
      <c r="U41" s="4"/>
      <c r="V41" s="4"/>
      <c r="W41" s="4"/>
      <c r="X41" s="4"/>
      <c r="Y41" s="4"/>
      <c r="Z41" s="4"/>
      <c r="AA41" s="4"/>
      <c r="AB41" s="4"/>
      <c r="AC41" s="4"/>
      <c r="AD41" s="4"/>
    </row>
    <row r="42" ht="15.75" customHeight="1">
      <c r="A42" s="4"/>
      <c r="B42" s="4"/>
      <c r="C42" s="4"/>
      <c r="D42" s="4"/>
      <c r="E42" s="4"/>
      <c r="F42" s="4"/>
      <c r="G42" s="4"/>
      <c r="H42" s="4"/>
      <c r="I42" s="4"/>
      <c r="J42" s="22"/>
      <c r="K42" s="42">
        <v>32.0</v>
      </c>
      <c r="L42" s="43"/>
      <c r="M42" s="51"/>
      <c r="N42" s="58"/>
      <c r="O42" s="23"/>
      <c r="P42" s="42">
        <v>32.0</v>
      </c>
      <c r="Q42" s="43"/>
      <c r="R42" s="51"/>
      <c r="S42" s="58"/>
      <c r="T42" s="24"/>
      <c r="U42" s="4"/>
      <c r="V42" s="4"/>
      <c r="W42" s="4"/>
      <c r="X42" s="4"/>
      <c r="Y42" s="4"/>
      <c r="Z42" s="4"/>
      <c r="AA42" s="4"/>
      <c r="AB42" s="4"/>
      <c r="AC42" s="4"/>
      <c r="AD42" s="4"/>
    </row>
    <row r="43" ht="15.75" customHeight="1">
      <c r="A43" s="4"/>
      <c r="B43" s="4"/>
      <c r="C43" s="4"/>
      <c r="D43" s="4"/>
      <c r="E43" s="4"/>
      <c r="F43" s="4"/>
      <c r="G43" s="4"/>
      <c r="H43" s="4"/>
      <c r="I43" s="4"/>
      <c r="J43" s="22"/>
      <c r="K43" s="42">
        <v>33.0</v>
      </c>
      <c r="L43" s="43"/>
      <c r="M43" s="51"/>
      <c r="N43" s="58"/>
      <c r="O43" s="23"/>
      <c r="P43" s="42">
        <v>33.0</v>
      </c>
      <c r="Q43" s="43"/>
      <c r="R43" s="51"/>
      <c r="S43" s="58"/>
      <c r="T43" s="24"/>
      <c r="U43" s="4"/>
      <c r="V43" s="4"/>
      <c r="W43" s="4"/>
      <c r="X43" s="4"/>
      <c r="Y43" s="4"/>
      <c r="Z43" s="4"/>
      <c r="AA43" s="4"/>
      <c r="AB43" s="4"/>
      <c r="AC43" s="4"/>
      <c r="AD43" s="4"/>
    </row>
    <row r="44" ht="15.75" customHeight="1">
      <c r="A44" s="4"/>
      <c r="B44" s="4"/>
      <c r="C44" s="4"/>
      <c r="D44" s="4"/>
      <c r="E44" s="4"/>
      <c r="F44" s="4"/>
      <c r="G44" s="4"/>
      <c r="H44" s="4"/>
      <c r="I44" s="4"/>
      <c r="J44" s="22"/>
      <c r="K44" s="42">
        <v>34.0</v>
      </c>
      <c r="L44" s="43"/>
      <c r="M44" s="51"/>
      <c r="N44" s="58"/>
      <c r="O44" s="23"/>
      <c r="P44" s="42">
        <v>34.0</v>
      </c>
      <c r="Q44" s="43"/>
      <c r="R44" s="51"/>
      <c r="S44" s="58"/>
      <c r="T44" s="24"/>
      <c r="U44" s="4"/>
      <c r="V44" s="4"/>
      <c r="W44" s="4"/>
      <c r="X44" s="4"/>
      <c r="Y44" s="4"/>
      <c r="Z44" s="4"/>
      <c r="AA44" s="4"/>
      <c r="AB44" s="4"/>
      <c r="AC44" s="4"/>
      <c r="AD44" s="4"/>
    </row>
    <row r="45" ht="15.75" customHeight="1">
      <c r="A45" s="4"/>
      <c r="B45" s="4"/>
      <c r="C45" s="4"/>
      <c r="D45" s="4"/>
      <c r="E45" s="4"/>
      <c r="F45" s="4"/>
      <c r="G45" s="4"/>
      <c r="H45" s="4"/>
      <c r="I45" s="4"/>
      <c r="J45" s="22"/>
      <c r="K45" s="42">
        <v>35.0</v>
      </c>
      <c r="L45" s="43"/>
      <c r="M45" s="51"/>
      <c r="N45" s="58"/>
      <c r="O45" s="23"/>
      <c r="P45" s="42">
        <v>35.0</v>
      </c>
      <c r="Q45" s="43"/>
      <c r="R45" s="51"/>
      <c r="S45" s="58"/>
      <c r="T45" s="24"/>
      <c r="U45" s="4"/>
      <c r="V45" s="4"/>
      <c r="W45" s="4"/>
      <c r="X45" s="4"/>
      <c r="Y45" s="4"/>
      <c r="Z45" s="4"/>
      <c r="AA45" s="4"/>
      <c r="AB45" s="4"/>
      <c r="AC45" s="4"/>
      <c r="AD45" s="4"/>
    </row>
    <row r="46" ht="15.75" customHeight="1">
      <c r="A46" s="4"/>
      <c r="B46" s="4"/>
      <c r="C46" s="4"/>
      <c r="D46" s="4"/>
      <c r="E46" s="4"/>
      <c r="F46" s="4"/>
      <c r="G46" s="4"/>
      <c r="H46" s="4"/>
      <c r="I46" s="4"/>
      <c r="J46" s="22"/>
      <c r="K46" s="42">
        <v>36.0</v>
      </c>
      <c r="L46" s="43"/>
      <c r="M46" s="51"/>
      <c r="N46" s="58"/>
      <c r="O46" s="23"/>
      <c r="P46" s="42">
        <v>36.0</v>
      </c>
      <c r="Q46" s="43"/>
      <c r="R46" s="51"/>
      <c r="S46" s="58"/>
      <c r="T46" s="24"/>
      <c r="U46" s="4"/>
      <c r="V46" s="4"/>
      <c r="W46" s="4"/>
      <c r="X46" s="4"/>
      <c r="Y46" s="4"/>
      <c r="Z46" s="4"/>
      <c r="AA46" s="4"/>
      <c r="AB46" s="4"/>
      <c r="AC46" s="4"/>
      <c r="AD46" s="4"/>
    </row>
    <row r="47" ht="15.75" customHeight="1">
      <c r="A47" s="4"/>
      <c r="B47" s="4"/>
      <c r="C47" s="4"/>
      <c r="D47" s="4"/>
      <c r="E47" s="4"/>
      <c r="F47" s="4"/>
      <c r="G47" s="4"/>
      <c r="H47" s="4"/>
      <c r="I47" s="4"/>
      <c r="J47" s="22"/>
      <c r="K47" s="42">
        <v>37.0</v>
      </c>
      <c r="L47" s="43"/>
      <c r="M47" s="51"/>
      <c r="N47" s="58"/>
      <c r="O47" s="23"/>
      <c r="P47" s="42">
        <v>37.0</v>
      </c>
      <c r="Q47" s="43"/>
      <c r="R47" s="51"/>
      <c r="S47" s="58"/>
      <c r="T47" s="24"/>
      <c r="U47" s="4"/>
      <c r="V47" s="4"/>
      <c r="W47" s="4"/>
      <c r="X47" s="4"/>
      <c r="Y47" s="4"/>
      <c r="Z47" s="4"/>
      <c r="AA47" s="4"/>
      <c r="AB47" s="4"/>
      <c r="AC47" s="4"/>
      <c r="AD47" s="4"/>
    </row>
    <row r="48" ht="15.75" customHeight="1">
      <c r="A48" s="4"/>
      <c r="B48" s="4"/>
      <c r="C48" s="4"/>
      <c r="D48" s="4"/>
      <c r="E48" s="4"/>
      <c r="F48" s="4"/>
      <c r="G48" s="4"/>
      <c r="H48" s="4"/>
      <c r="I48" s="4"/>
      <c r="J48" s="22"/>
      <c r="K48" s="42">
        <v>38.0</v>
      </c>
      <c r="L48" s="43"/>
      <c r="M48" s="51"/>
      <c r="N48" s="58"/>
      <c r="O48" s="23"/>
      <c r="P48" s="42">
        <v>38.0</v>
      </c>
      <c r="Q48" s="43"/>
      <c r="R48" s="51"/>
      <c r="S48" s="58"/>
      <c r="T48" s="24"/>
      <c r="U48" s="4"/>
      <c r="V48" s="4"/>
      <c r="W48" s="4"/>
      <c r="X48" s="4"/>
      <c r="Y48" s="4"/>
      <c r="Z48" s="4"/>
      <c r="AA48" s="4"/>
      <c r="AB48" s="4"/>
      <c r="AC48" s="4"/>
      <c r="AD48" s="4"/>
    </row>
    <row r="49" ht="15.75" customHeight="1">
      <c r="A49" s="4"/>
      <c r="B49" s="4"/>
      <c r="C49" s="4"/>
      <c r="D49" s="4"/>
      <c r="E49" s="4"/>
      <c r="F49" s="4"/>
      <c r="G49" s="4"/>
      <c r="H49" s="4"/>
      <c r="I49" s="4"/>
      <c r="J49" s="22"/>
      <c r="K49" s="42">
        <v>39.0</v>
      </c>
      <c r="L49" s="43"/>
      <c r="M49" s="51"/>
      <c r="N49" s="58"/>
      <c r="O49" s="23"/>
      <c r="P49" s="42">
        <v>39.0</v>
      </c>
      <c r="Q49" s="43"/>
      <c r="R49" s="51"/>
      <c r="S49" s="58"/>
      <c r="T49" s="24"/>
      <c r="U49" s="4"/>
      <c r="V49" s="4"/>
      <c r="W49" s="4"/>
      <c r="X49" s="4"/>
      <c r="Y49" s="4"/>
      <c r="Z49" s="4"/>
      <c r="AA49" s="4"/>
      <c r="AB49" s="4"/>
      <c r="AC49" s="4"/>
      <c r="AD49" s="4"/>
    </row>
    <row r="50" ht="15.75" customHeight="1">
      <c r="A50" s="4"/>
      <c r="B50" s="4"/>
      <c r="C50" s="4"/>
      <c r="D50" s="4"/>
      <c r="E50" s="4"/>
      <c r="F50" s="4"/>
      <c r="G50" s="4"/>
      <c r="H50" s="4"/>
      <c r="I50" s="4"/>
      <c r="J50" s="22"/>
      <c r="K50" s="42">
        <v>40.0</v>
      </c>
      <c r="L50" s="43"/>
      <c r="M50" s="51"/>
      <c r="N50" s="58"/>
      <c r="O50" s="23"/>
      <c r="P50" s="42">
        <v>40.0</v>
      </c>
      <c r="Q50" s="43"/>
      <c r="R50" s="51"/>
      <c r="S50" s="58"/>
      <c r="T50" s="24"/>
      <c r="U50" s="4"/>
      <c r="V50" s="4"/>
      <c r="W50" s="4"/>
      <c r="X50" s="4"/>
      <c r="Y50" s="4"/>
      <c r="Z50" s="4"/>
      <c r="AA50" s="4"/>
      <c r="AB50" s="4"/>
      <c r="AC50" s="4"/>
      <c r="AD50" s="4"/>
    </row>
    <row r="51" ht="15.75" customHeight="1">
      <c r="A51" s="4"/>
      <c r="B51" s="4"/>
      <c r="C51" s="4"/>
      <c r="D51" s="4"/>
      <c r="E51" s="4"/>
      <c r="F51" s="4"/>
      <c r="G51" s="4"/>
      <c r="H51" s="4"/>
      <c r="I51" s="4"/>
      <c r="J51" s="22"/>
      <c r="K51" s="42">
        <v>41.0</v>
      </c>
      <c r="L51" s="43"/>
      <c r="M51" s="51"/>
      <c r="N51" s="58"/>
      <c r="O51" s="23"/>
      <c r="P51" s="42">
        <v>41.0</v>
      </c>
      <c r="Q51" s="43"/>
      <c r="R51" s="51"/>
      <c r="S51" s="58"/>
      <c r="T51" s="24"/>
      <c r="U51" s="4"/>
      <c r="V51" s="4"/>
      <c r="W51" s="4"/>
      <c r="X51" s="4"/>
      <c r="Y51" s="4"/>
      <c r="Z51" s="4"/>
      <c r="AA51" s="4"/>
      <c r="AB51" s="4"/>
      <c r="AC51" s="4"/>
      <c r="AD51" s="4"/>
    </row>
    <row r="52" ht="15.75" customHeight="1">
      <c r="A52" s="4"/>
      <c r="B52" s="4"/>
      <c r="C52" s="4"/>
      <c r="D52" s="4"/>
      <c r="E52" s="4"/>
      <c r="F52" s="4"/>
      <c r="G52" s="4"/>
      <c r="H52" s="4"/>
      <c r="I52" s="4"/>
      <c r="J52" s="22"/>
      <c r="K52" s="42">
        <v>42.0</v>
      </c>
      <c r="L52" s="43"/>
      <c r="M52" s="51"/>
      <c r="N52" s="58"/>
      <c r="O52" s="23"/>
      <c r="P52" s="42">
        <v>42.0</v>
      </c>
      <c r="Q52" s="43"/>
      <c r="R52" s="51"/>
      <c r="S52" s="58"/>
      <c r="T52" s="24"/>
      <c r="U52" s="4"/>
      <c r="V52" s="4"/>
      <c r="W52" s="4"/>
      <c r="X52" s="4"/>
      <c r="Y52" s="4"/>
      <c r="Z52" s="4"/>
      <c r="AA52" s="4"/>
      <c r="AB52" s="4"/>
      <c r="AC52" s="4"/>
      <c r="AD52" s="4"/>
    </row>
    <row r="53" ht="15.75" customHeight="1">
      <c r="A53" s="4"/>
      <c r="B53" s="4"/>
      <c r="C53" s="4"/>
      <c r="D53" s="4"/>
      <c r="E53" s="4"/>
      <c r="F53" s="4"/>
      <c r="G53" s="4"/>
      <c r="H53" s="4"/>
      <c r="I53" s="4"/>
      <c r="J53" s="22"/>
      <c r="K53" s="42">
        <v>43.0</v>
      </c>
      <c r="L53" s="43"/>
      <c r="M53" s="51"/>
      <c r="N53" s="58"/>
      <c r="O53" s="23"/>
      <c r="P53" s="42">
        <v>43.0</v>
      </c>
      <c r="Q53" s="43"/>
      <c r="R53" s="51"/>
      <c r="S53" s="58"/>
      <c r="T53" s="24"/>
      <c r="U53" s="4"/>
      <c r="V53" s="4"/>
      <c r="W53" s="4"/>
      <c r="X53" s="4"/>
      <c r="Y53" s="4"/>
      <c r="Z53" s="4"/>
      <c r="AA53" s="4"/>
      <c r="AB53" s="4"/>
      <c r="AC53" s="4"/>
      <c r="AD53" s="4"/>
    </row>
    <row r="54" ht="15.75" customHeight="1">
      <c r="A54" s="4"/>
      <c r="B54" s="4"/>
      <c r="C54" s="4"/>
      <c r="D54" s="4"/>
      <c r="E54" s="4"/>
      <c r="F54" s="4"/>
      <c r="G54" s="4"/>
      <c r="H54" s="4"/>
      <c r="I54" s="4"/>
      <c r="J54" s="22"/>
      <c r="K54" s="42">
        <v>44.0</v>
      </c>
      <c r="L54" s="43"/>
      <c r="M54" s="51"/>
      <c r="N54" s="58"/>
      <c r="O54" s="23"/>
      <c r="P54" s="42">
        <v>44.0</v>
      </c>
      <c r="Q54" s="43"/>
      <c r="R54" s="51"/>
      <c r="S54" s="58"/>
      <c r="T54" s="24"/>
      <c r="U54" s="4"/>
      <c r="V54" s="4"/>
      <c r="W54" s="4"/>
      <c r="X54" s="4"/>
      <c r="Y54" s="4"/>
      <c r="Z54" s="4"/>
      <c r="AA54" s="4"/>
      <c r="AB54" s="4"/>
      <c r="AC54" s="4"/>
      <c r="AD54" s="4"/>
    </row>
    <row r="55" ht="15.75" customHeight="1">
      <c r="A55" s="4"/>
      <c r="B55" s="4"/>
      <c r="C55" s="4"/>
      <c r="D55" s="4"/>
      <c r="E55" s="4"/>
      <c r="F55" s="4"/>
      <c r="G55" s="4"/>
      <c r="H55" s="4"/>
      <c r="I55" s="4"/>
      <c r="J55" s="22"/>
      <c r="K55" s="42">
        <v>45.0</v>
      </c>
      <c r="L55" s="43"/>
      <c r="M55" s="51"/>
      <c r="N55" s="58"/>
      <c r="O55" s="23"/>
      <c r="P55" s="42">
        <v>45.0</v>
      </c>
      <c r="Q55" s="43"/>
      <c r="R55" s="51"/>
      <c r="S55" s="58"/>
      <c r="T55" s="24"/>
      <c r="U55" s="4"/>
      <c r="V55" s="4"/>
      <c r="W55" s="4"/>
      <c r="X55" s="4"/>
      <c r="Y55" s="4"/>
      <c r="Z55" s="4"/>
      <c r="AA55" s="4"/>
      <c r="AB55" s="4"/>
      <c r="AC55" s="4"/>
      <c r="AD55" s="4"/>
    </row>
    <row r="56" ht="15.75" customHeight="1">
      <c r="A56" s="4"/>
      <c r="B56" s="4"/>
      <c r="C56" s="4"/>
      <c r="D56" s="4"/>
      <c r="E56" s="4"/>
      <c r="F56" s="4"/>
      <c r="G56" s="4"/>
      <c r="H56" s="4"/>
      <c r="I56" s="4"/>
      <c r="J56" s="22"/>
      <c r="K56" s="42">
        <v>46.0</v>
      </c>
      <c r="L56" s="43"/>
      <c r="M56" s="51"/>
      <c r="N56" s="58"/>
      <c r="O56" s="23"/>
      <c r="P56" s="42">
        <v>46.0</v>
      </c>
      <c r="Q56" s="43"/>
      <c r="R56" s="51"/>
      <c r="S56" s="58"/>
      <c r="T56" s="24"/>
      <c r="U56" s="4"/>
      <c r="V56" s="4"/>
      <c r="W56" s="4"/>
      <c r="X56" s="4"/>
      <c r="Y56" s="4"/>
      <c r="Z56" s="4"/>
      <c r="AA56" s="4"/>
      <c r="AB56" s="4"/>
      <c r="AC56" s="4"/>
      <c r="AD56" s="4"/>
    </row>
    <row r="57" ht="15.75" customHeight="1">
      <c r="A57" s="4"/>
      <c r="B57" s="4"/>
      <c r="C57" s="4"/>
      <c r="D57" s="4"/>
      <c r="E57" s="4"/>
      <c r="F57" s="4"/>
      <c r="G57" s="4"/>
      <c r="H57" s="4"/>
      <c r="I57" s="4"/>
      <c r="J57" s="22"/>
      <c r="K57" s="42">
        <v>47.0</v>
      </c>
      <c r="L57" s="43"/>
      <c r="M57" s="51"/>
      <c r="N57" s="58"/>
      <c r="O57" s="23"/>
      <c r="P57" s="42">
        <v>47.0</v>
      </c>
      <c r="Q57" s="43"/>
      <c r="R57" s="51"/>
      <c r="S57" s="58"/>
      <c r="T57" s="24"/>
      <c r="U57" s="4"/>
      <c r="V57" s="4"/>
      <c r="W57" s="4"/>
      <c r="X57" s="4"/>
      <c r="Y57" s="4"/>
      <c r="Z57" s="4"/>
      <c r="AA57" s="4"/>
      <c r="AB57" s="4"/>
      <c r="AC57" s="4"/>
      <c r="AD57" s="4"/>
    </row>
    <row r="58" ht="15.75" customHeight="1">
      <c r="A58" s="4"/>
      <c r="B58" s="4"/>
      <c r="C58" s="4"/>
      <c r="D58" s="4"/>
      <c r="E58" s="4"/>
      <c r="F58" s="4"/>
      <c r="G58" s="4"/>
      <c r="H58" s="4"/>
      <c r="I58" s="4"/>
      <c r="J58" s="22"/>
      <c r="K58" s="42">
        <v>48.0</v>
      </c>
      <c r="L58" s="43"/>
      <c r="M58" s="51"/>
      <c r="N58" s="58"/>
      <c r="O58" s="23"/>
      <c r="P58" s="42">
        <v>48.0</v>
      </c>
      <c r="Q58" s="43"/>
      <c r="R58" s="51"/>
      <c r="S58" s="58"/>
      <c r="T58" s="24"/>
      <c r="U58" s="4"/>
      <c r="V58" s="4"/>
      <c r="W58" s="4"/>
      <c r="X58" s="4"/>
      <c r="Y58" s="4"/>
      <c r="Z58" s="4"/>
      <c r="AA58" s="4"/>
      <c r="AB58" s="4"/>
      <c r="AC58" s="4"/>
      <c r="AD58" s="4"/>
    </row>
    <row r="59" ht="15.75" customHeight="1">
      <c r="A59" s="4"/>
      <c r="B59" s="4"/>
      <c r="C59" s="4"/>
      <c r="D59" s="4"/>
      <c r="E59" s="4"/>
      <c r="F59" s="4"/>
      <c r="G59" s="4"/>
      <c r="H59" s="4"/>
      <c r="I59" s="4"/>
      <c r="J59" s="22"/>
      <c r="K59" s="42">
        <v>49.0</v>
      </c>
      <c r="L59" s="43"/>
      <c r="M59" s="51"/>
      <c r="N59" s="58"/>
      <c r="O59" s="23"/>
      <c r="P59" s="42">
        <v>49.0</v>
      </c>
      <c r="Q59" s="43"/>
      <c r="R59" s="51"/>
      <c r="S59" s="58"/>
      <c r="T59" s="24"/>
      <c r="U59" s="4"/>
      <c r="V59" s="4"/>
      <c r="W59" s="4"/>
      <c r="X59" s="4"/>
      <c r="Y59" s="4"/>
      <c r="Z59" s="4"/>
      <c r="AA59" s="4"/>
      <c r="AB59" s="4"/>
      <c r="AC59" s="4"/>
      <c r="AD59" s="4"/>
    </row>
    <row r="60" ht="15.75" customHeight="1">
      <c r="A60" s="4"/>
      <c r="B60" s="4"/>
      <c r="C60" s="4"/>
      <c r="D60" s="4"/>
      <c r="E60" s="4"/>
      <c r="F60" s="4"/>
      <c r="G60" s="4"/>
      <c r="H60" s="4"/>
      <c r="I60" s="4"/>
      <c r="J60" s="22"/>
      <c r="K60" s="42">
        <v>50.0</v>
      </c>
      <c r="L60" s="43"/>
      <c r="M60" s="51"/>
      <c r="N60" s="58"/>
      <c r="O60" s="23"/>
      <c r="P60" s="42">
        <v>50.0</v>
      </c>
      <c r="Q60" s="43"/>
      <c r="R60" s="51"/>
      <c r="S60" s="58"/>
      <c r="T60" s="24"/>
      <c r="U60" s="4"/>
      <c r="V60" s="4"/>
      <c r="W60" s="4"/>
      <c r="X60" s="4"/>
      <c r="Y60" s="4"/>
      <c r="Z60" s="4"/>
      <c r="AA60" s="4"/>
      <c r="AB60" s="4"/>
      <c r="AC60" s="4"/>
      <c r="AD60" s="4"/>
    </row>
    <row r="61" ht="15.75" customHeight="1">
      <c r="A61" s="4"/>
      <c r="B61" s="4"/>
      <c r="C61" s="4"/>
      <c r="D61" s="4"/>
      <c r="E61" s="4"/>
      <c r="F61" s="4"/>
      <c r="G61" s="4"/>
      <c r="H61" s="4"/>
      <c r="I61" s="4"/>
      <c r="J61" s="78"/>
      <c r="K61" s="79"/>
      <c r="L61" s="79"/>
      <c r="M61" s="79"/>
      <c r="N61" s="79"/>
      <c r="O61" s="79"/>
      <c r="P61" s="79"/>
      <c r="Q61" s="79"/>
      <c r="R61" s="79"/>
      <c r="S61" s="79"/>
      <c r="T61" s="80"/>
      <c r="U61" s="4"/>
      <c r="V61" s="4"/>
      <c r="W61" s="4"/>
      <c r="X61" s="4"/>
      <c r="Y61" s="4"/>
      <c r="Z61" s="4"/>
      <c r="AA61" s="4"/>
      <c r="AB61" s="4"/>
      <c r="AC61" s="4"/>
      <c r="AD61" s="4"/>
    </row>
    <row r="62" ht="15.75" customHeight="1">
      <c r="A62" s="4"/>
      <c r="B62" s="4"/>
      <c r="C62" s="4"/>
      <c r="D62" s="4"/>
      <c r="E62" s="4"/>
      <c r="F62" s="4"/>
      <c r="G62" s="4"/>
      <c r="H62" s="4"/>
      <c r="I62" s="4"/>
      <c r="J62" s="4"/>
      <c r="K62" s="4"/>
      <c r="L62" s="4"/>
      <c r="M62" s="4"/>
      <c r="N62" s="4"/>
      <c r="O62" s="4"/>
      <c r="P62" s="4"/>
      <c r="Q62" s="4"/>
      <c r="R62" s="4"/>
      <c r="S62" s="4"/>
      <c r="T62" s="126" t="s">
        <v>55</v>
      </c>
      <c r="U62" s="4"/>
      <c r="V62" s="4"/>
      <c r="W62" s="4"/>
      <c r="X62" s="4"/>
      <c r="Y62" s="4"/>
      <c r="Z62" s="4"/>
      <c r="AA62" s="4"/>
      <c r="AB62" s="4"/>
      <c r="AC62" s="4"/>
      <c r="AD62" s="4"/>
    </row>
    <row r="63" ht="15.75" customHeight="1">
      <c r="A63" s="4"/>
      <c r="B63" s="4"/>
      <c r="C63" s="4"/>
      <c r="D63" s="4"/>
      <c r="E63" s="4"/>
      <c r="F63" s="4"/>
      <c r="G63" s="4"/>
      <c r="H63" s="4"/>
      <c r="I63" s="4"/>
      <c r="U63" s="4"/>
      <c r="V63" s="4"/>
      <c r="W63" s="4"/>
      <c r="X63" s="4"/>
      <c r="Y63" s="4"/>
      <c r="Z63" s="4"/>
      <c r="AA63" s="4"/>
      <c r="AB63" s="4"/>
      <c r="AC63" s="4"/>
      <c r="AD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27">
      <formula1>"4,5,6,7,8,9,10"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s>
  <printOptions/>
  <pageMargins bottom="0.75" footer="0.0" header="0.0" left="0.25" right="0.25" top="0.75"/>
  <pageSetup fitToWidth="0" paperSize="9"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9" max="10" width="5.13"/>
    <col customWidth="1" min="11" max="11" width="9.0"/>
    <col customWidth="1" min="12" max="12" width="9.38"/>
    <col customWidth="1" min="13" max="13" width="12.75"/>
    <col customWidth="1" min="14" max="14" width="11.38"/>
    <col customWidth="1" min="15" max="18" width="9.5"/>
    <col customWidth="1" min="19" max="19" width="11.88"/>
    <col customWidth="1" min="22" max="22" width="3.88"/>
  </cols>
  <sheetData>
    <row r="1" ht="15.75" customHeight="1">
      <c r="A1" s="10" t="s">
        <v>1</v>
      </c>
      <c r="W1" s="13"/>
      <c r="X1" s="13"/>
      <c r="Y1" s="13"/>
      <c r="Z1" s="13"/>
      <c r="AA1" s="13"/>
      <c r="AB1" s="13"/>
      <c r="AC1" s="13"/>
      <c r="AD1" s="13"/>
      <c r="AE1" s="13"/>
      <c r="AF1" s="13"/>
    </row>
    <row r="2" ht="15.75" customHeight="1">
      <c r="W2" s="13"/>
      <c r="X2" s="13"/>
      <c r="Y2" s="13"/>
      <c r="Z2" s="13"/>
      <c r="AA2" s="13"/>
      <c r="AB2" s="13"/>
      <c r="AC2" s="13"/>
      <c r="AD2" s="13"/>
      <c r="AE2" s="13"/>
      <c r="AF2" s="13"/>
    </row>
    <row r="3" ht="15.75" customHeight="1">
      <c r="W3" s="13"/>
      <c r="X3" s="13"/>
      <c r="Y3" s="13"/>
      <c r="Z3" s="13"/>
      <c r="AA3" s="13"/>
      <c r="AB3" s="13"/>
      <c r="AC3" s="13"/>
      <c r="AD3" s="13"/>
      <c r="AE3" s="13"/>
      <c r="AF3" s="13"/>
    </row>
    <row r="4" ht="15.75" customHeight="1">
      <c r="W4" s="15"/>
      <c r="X4" s="15"/>
      <c r="Y4" s="15"/>
      <c r="Z4" s="15"/>
      <c r="AA4" s="15"/>
      <c r="AB4" s="15"/>
      <c r="AC4" s="15"/>
      <c r="AD4" s="15"/>
      <c r="AE4" s="15"/>
      <c r="AF4" s="15"/>
    </row>
    <row r="5" ht="15.75" customHeight="1">
      <c r="A5" s="17"/>
      <c r="B5" s="19"/>
      <c r="C5" s="20"/>
      <c r="D5" s="21" t="s">
        <v>5</v>
      </c>
      <c r="E5" s="28" t="str">
        <f>'INPUT DATA'!F10</f>
        <v>NCR</v>
      </c>
      <c r="F5" s="29"/>
      <c r="G5" s="30"/>
      <c r="H5" s="31"/>
      <c r="I5" s="21" t="s">
        <v>8</v>
      </c>
      <c r="J5" s="21"/>
      <c r="K5" s="28" t="str">
        <f>'INPUT DATA'!F11</f>
        <v>LAS PINAS</v>
      </c>
      <c r="L5" s="29"/>
      <c r="M5" s="30"/>
      <c r="N5" s="37"/>
      <c r="O5" s="31"/>
      <c r="P5" s="31"/>
      <c r="Q5" s="31"/>
      <c r="R5" s="31"/>
      <c r="S5" s="31"/>
      <c r="T5" s="31"/>
      <c r="U5" s="31"/>
      <c r="V5" s="17"/>
      <c r="W5" s="17"/>
      <c r="X5" s="17"/>
      <c r="Y5" s="17"/>
      <c r="Z5" s="17"/>
      <c r="AA5" s="17"/>
      <c r="AB5" s="17"/>
      <c r="AC5" s="17"/>
      <c r="AD5" s="17"/>
      <c r="AE5" s="17"/>
      <c r="AF5" s="17"/>
    </row>
    <row r="6" ht="15.75" customHeight="1">
      <c r="A6" s="17"/>
      <c r="B6" s="19"/>
      <c r="C6" s="39"/>
      <c r="D6" s="21" t="s">
        <v>13</v>
      </c>
      <c r="E6" s="28" t="str">
        <f>'INPUT DATA'!F16</f>
        <v>LAS PINAS EAST NATIONAL HIGH SCHOOL</v>
      </c>
      <c r="F6" s="29"/>
      <c r="G6" s="30"/>
      <c r="H6" s="31"/>
      <c r="I6" s="21" t="s">
        <v>16</v>
      </c>
      <c r="J6" s="21"/>
      <c r="K6" s="47">
        <f>'INPUT DATA'!F15</f>
        <v>305434</v>
      </c>
      <c r="L6" s="29"/>
      <c r="M6" s="30"/>
      <c r="N6" s="48"/>
      <c r="O6" s="49"/>
      <c r="P6" s="49"/>
      <c r="Q6" s="49"/>
      <c r="R6" s="49"/>
      <c r="S6" s="21" t="s">
        <v>22</v>
      </c>
      <c r="T6" s="47" t="str">
        <f>'INPUT DATA'!F18</f>
        <v>2026-2027</v>
      </c>
      <c r="U6" s="30"/>
      <c r="V6" s="17"/>
      <c r="W6" s="17"/>
      <c r="X6" s="17"/>
      <c r="Y6" s="17"/>
      <c r="Z6" s="17"/>
      <c r="AA6" s="17"/>
      <c r="AB6" s="17"/>
      <c r="AC6" s="17"/>
      <c r="AD6" s="17"/>
      <c r="AE6" s="17"/>
      <c r="AF6" s="17"/>
    </row>
    <row r="7" ht="15.75" customHeight="1">
      <c r="A7" s="15"/>
      <c r="B7" s="53"/>
      <c r="C7" s="54"/>
      <c r="D7" s="54"/>
      <c r="E7" s="15"/>
      <c r="F7" s="15"/>
      <c r="G7" s="57"/>
      <c r="I7" s="15"/>
      <c r="J7" s="15"/>
      <c r="K7" s="15"/>
      <c r="L7" s="54"/>
      <c r="M7" s="15"/>
      <c r="N7" s="15"/>
      <c r="O7" s="54"/>
      <c r="P7" s="54"/>
      <c r="Q7" s="54"/>
      <c r="R7" s="54"/>
      <c r="S7" s="15"/>
      <c r="T7" s="54"/>
      <c r="U7" s="15"/>
      <c r="V7" s="15"/>
      <c r="W7" s="15"/>
      <c r="X7" s="15"/>
      <c r="Y7" s="15"/>
      <c r="Z7" s="15"/>
      <c r="AA7" s="15"/>
      <c r="AB7" s="15"/>
      <c r="AC7" s="15"/>
      <c r="AD7" s="15"/>
      <c r="AE7" s="15"/>
      <c r="AF7" s="15"/>
    </row>
    <row r="8" ht="15.75" customHeight="1">
      <c r="A8" s="15"/>
      <c r="B8" s="61"/>
      <c r="C8" s="29"/>
      <c r="D8" s="29"/>
      <c r="E8" s="29"/>
      <c r="F8" s="29"/>
      <c r="G8" s="29"/>
      <c r="H8" s="29"/>
      <c r="I8" s="29"/>
      <c r="J8" s="29"/>
      <c r="K8" s="29"/>
      <c r="L8" s="29"/>
      <c r="M8" s="29"/>
      <c r="N8" s="29"/>
      <c r="O8" s="29"/>
      <c r="P8" s="29"/>
      <c r="Q8" s="29"/>
      <c r="R8" s="29"/>
      <c r="S8" s="29"/>
      <c r="T8" s="29"/>
      <c r="U8" s="30"/>
      <c r="V8" s="15"/>
      <c r="W8" s="15"/>
      <c r="X8" s="15"/>
      <c r="Y8" s="15"/>
      <c r="Z8" s="15"/>
      <c r="AA8" s="15"/>
      <c r="AB8" s="15"/>
      <c r="AC8" s="15"/>
      <c r="AD8" s="15"/>
      <c r="AE8" s="15"/>
      <c r="AF8" s="15"/>
    </row>
    <row r="9" ht="15.75" customHeight="1">
      <c r="A9" s="13"/>
      <c r="B9" s="65" t="s">
        <v>24</v>
      </c>
      <c r="E9" s="68"/>
      <c r="F9" s="72" t="s">
        <v>25</v>
      </c>
      <c r="G9" s="74">
        <f>'INPUT DATA'!F27</f>
        <v>10</v>
      </c>
      <c r="H9" s="75"/>
      <c r="I9" s="75"/>
      <c r="J9" s="75"/>
      <c r="K9" s="76"/>
      <c r="L9" s="77" t="s">
        <v>30</v>
      </c>
      <c r="M9" s="68"/>
      <c r="N9" s="81" t="str">
        <f>'INPUT DATA'!F26</f>
        <v>ROSALINDA S. VALE</v>
      </c>
      <c r="O9" s="12"/>
      <c r="P9" s="12"/>
      <c r="Q9" s="12"/>
      <c r="R9" s="12"/>
      <c r="S9" s="12"/>
      <c r="T9" s="12"/>
      <c r="U9" s="14"/>
      <c r="V9" s="13"/>
      <c r="W9" s="13"/>
      <c r="X9" s="13"/>
      <c r="Y9" s="13"/>
      <c r="Z9" s="13"/>
      <c r="AA9" s="13"/>
      <c r="AB9" s="13"/>
      <c r="AC9" s="13"/>
      <c r="AD9" s="13"/>
      <c r="AE9" s="13"/>
      <c r="AF9" s="13"/>
    </row>
    <row r="10" ht="15.75" customHeight="1">
      <c r="A10" s="13"/>
      <c r="B10" s="83"/>
      <c r="E10" s="68"/>
      <c r="F10" s="84" t="s">
        <v>31</v>
      </c>
      <c r="G10" s="74" t="str">
        <f>'INPUT DATA'!F28</f>
        <v>PAMAYPAY</v>
      </c>
      <c r="H10" s="75"/>
      <c r="I10" s="75"/>
      <c r="J10" s="75"/>
      <c r="K10" s="76"/>
      <c r="L10" s="85"/>
      <c r="M10" s="76"/>
      <c r="N10" s="85"/>
      <c r="O10" s="75"/>
      <c r="P10" s="75"/>
      <c r="Q10" s="75"/>
      <c r="R10" s="75"/>
      <c r="S10" s="75"/>
      <c r="T10" s="75"/>
      <c r="U10" s="76"/>
      <c r="V10" s="13"/>
      <c r="W10" s="13"/>
      <c r="X10" s="13"/>
      <c r="Y10" s="13"/>
      <c r="Z10" s="13"/>
      <c r="AA10" s="13"/>
      <c r="AB10" s="13"/>
      <c r="AC10" s="13"/>
      <c r="AD10" s="13"/>
      <c r="AE10" s="13"/>
      <c r="AF10" s="13"/>
    </row>
    <row r="11" ht="14.25" customHeight="1">
      <c r="A11" s="15"/>
      <c r="B11" s="86" t="s">
        <v>33</v>
      </c>
      <c r="C11" s="12"/>
      <c r="D11" s="12"/>
      <c r="E11" s="14"/>
      <c r="F11" s="88" t="s">
        <v>10</v>
      </c>
      <c r="G11" s="14"/>
      <c r="H11" s="91" t="s">
        <v>34</v>
      </c>
      <c r="I11" s="91" t="s">
        <v>36</v>
      </c>
      <c r="J11" s="91" t="s">
        <v>37</v>
      </c>
      <c r="K11" s="92" t="s">
        <v>38</v>
      </c>
      <c r="L11" s="75"/>
      <c r="M11" s="75"/>
      <c r="N11" s="75"/>
      <c r="O11" s="75"/>
      <c r="P11" s="75"/>
      <c r="Q11" s="75"/>
      <c r="R11" s="75"/>
      <c r="S11" s="75"/>
      <c r="T11" s="94" t="s">
        <v>39</v>
      </c>
      <c r="U11" s="96" t="s">
        <v>41</v>
      </c>
      <c r="V11" s="37"/>
      <c r="W11" s="15"/>
      <c r="X11" s="15"/>
      <c r="Y11" s="15"/>
      <c r="Z11" s="15"/>
      <c r="AA11" s="15"/>
      <c r="AB11" s="15"/>
      <c r="AC11" s="15"/>
      <c r="AD11" s="15"/>
      <c r="AE11" s="15"/>
      <c r="AF11" s="15"/>
    </row>
    <row r="12" ht="14.25" customHeight="1">
      <c r="A12" s="15"/>
      <c r="B12" s="83"/>
      <c r="E12" s="68"/>
      <c r="F12" s="83"/>
      <c r="G12" s="68"/>
      <c r="H12" s="97"/>
      <c r="I12" s="97"/>
      <c r="J12" s="97"/>
      <c r="K12" s="91" t="s">
        <v>42</v>
      </c>
      <c r="L12" s="91" t="s">
        <v>43</v>
      </c>
      <c r="M12" s="91" t="s">
        <v>45</v>
      </c>
      <c r="N12" s="91" t="s">
        <v>46</v>
      </c>
      <c r="O12" s="91" t="s">
        <v>47</v>
      </c>
      <c r="P12" s="91" t="s">
        <v>48</v>
      </c>
      <c r="Q12" s="91" t="s">
        <v>49</v>
      </c>
      <c r="R12" s="102" t="s">
        <v>50</v>
      </c>
      <c r="S12" s="30"/>
      <c r="T12" s="97"/>
      <c r="U12" s="68"/>
      <c r="V12" s="37"/>
      <c r="W12" s="15"/>
      <c r="X12" s="15"/>
      <c r="Y12" s="15"/>
      <c r="Z12" s="15"/>
      <c r="AA12" s="15"/>
      <c r="AB12" s="15"/>
      <c r="AC12" s="15"/>
      <c r="AD12" s="15"/>
      <c r="AE12" s="15"/>
      <c r="AF12" s="15"/>
    </row>
    <row r="13" ht="15.75" customHeight="1">
      <c r="A13" s="15"/>
      <c r="B13" s="85"/>
      <c r="C13" s="75"/>
      <c r="D13" s="75"/>
      <c r="E13" s="76"/>
      <c r="F13" s="85"/>
      <c r="G13" s="76"/>
      <c r="H13" s="105"/>
      <c r="I13" s="105"/>
      <c r="J13" s="105"/>
      <c r="K13" s="105"/>
      <c r="L13" s="105"/>
      <c r="M13" s="105"/>
      <c r="N13" s="105"/>
      <c r="O13" s="105"/>
      <c r="P13" s="105"/>
      <c r="Q13" s="105"/>
      <c r="R13" s="106" t="s">
        <v>52</v>
      </c>
      <c r="S13" s="107" t="s">
        <v>53</v>
      </c>
      <c r="T13" s="105"/>
      <c r="U13" s="76"/>
      <c r="V13" s="37"/>
      <c r="W13" s="15"/>
      <c r="X13" s="15"/>
      <c r="Y13" s="15"/>
      <c r="Z13" s="15"/>
      <c r="AA13" s="15"/>
      <c r="AB13" s="15"/>
      <c r="AC13" s="15"/>
      <c r="AD13" s="15"/>
      <c r="AE13" s="15"/>
      <c r="AF13" s="15"/>
    </row>
    <row r="14" ht="15.75" customHeight="1">
      <c r="A14" s="17"/>
      <c r="B14" s="111"/>
      <c r="C14" s="29"/>
      <c r="D14" s="29"/>
      <c r="E14" s="29"/>
      <c r="F14" s="29"/>
      <c r="G14" s="29"/>
      <c r="H14" s="29"/>
      <c r="I14" s="29"/>
      <c r="J14" s="29"/>
      <c r="K14" s="29"/>
      <c r="L14" s="29"/>
      <c r="M14" s="29"/>
      <c r="N14" s="29"/>
      <c r="O14" s="29"/>
      <c r="P14" s="29"/>
      <c r="Q14" s="29"/>
      <c r="R14" s="29"/>
      <c r="S14" s="29"/>
      <c r="T14" s="29"/>
      <c r="U14" s="30"/>
      <c r="V14" s="17"/>
      <c r="W14" s="17"/>
      <c r="X14" s="17"/>
      <c r="Y14" s="17"/>
      <c r="Z14" s="17"/>
      <c r="AA14" s="17"/>
      <c r="AB14" s="17"/>
      <c r="AC14" s="17"/>
      <c r="AD14" s="17"/>
      <c r="AE14" s="17"/>
      <c r="AF14" s="17"/>
    </row>
    <row r="15" ht="15.75" customHeight="1">
      <c r="A15" s="17"/>
      <c r="B15" s="112">
        <v>1.0</v>
      </c>
      <c r="C15" s="113" t="str">
        <f>IF('INPUT DATA'!L11="","",'INPUT DATA'!L11)</f>
        <v>A</v>
      </c>
      <c r="D15" s="114"/>
      <c r="E15" s="115"/>
      <c r="F15" s="116">
        <f>IF('INPUT DATA'!M11="","",'INPUT DATA'!M11)</f>
        <v>123456789012</v>
      </c>
      <c r="G15" s="115"/>
      <c r="H15" s="117">
        <f>IF('INPUT DATA'!N11="","",'INPUT DATA'!N11)</f>
        <v>40355</v>
      </c>
      <c r="I15" s="118">
        <f t="shared" ref="I15:I64" si="1">IF(H15="","",DATEDIF(H15,TODAY(),"Y"))</f>
        <v>16</v>
      </c>
      <c r="J15" s="119" t="s">
        <v>54</v>
      </c>
      <c r="K15" s="121"/>
      <c r="L15" s="121"/>
      <c r="M15" s="121"/>
      <c r="N15" s="121"/>
      <c r="O15" s="121"/>
      <c r="P15" s="121"/>
      <c r="Q15" s="121"/>
      <c r="R15" s="121"/>
      <c r="S15" s="121"/>
      <c r="T15" s="122" t="str">
        <f t="shared" ref="T15:T64" si="2">IF(COUNT(K15:S15)=0,"",ROUND((K15+L15+M15+N15+O15+S15)/6,0))</f>
        <v/>
      </c>
      <c r="U15" s="123" t="str">
        <f t="shared" ref="U15:U64" si="3">IF(T15="","",_xlfn.RANK.AVG(T15,$T$15:$T$115))</f>
        <v/>
      </c>
      <c r="V15" s="17"/>
      <c r="W15" s="17"/>
      <c r="X15" s="17"/>
      <c r="Y15" s="17"/>
      <c r="Z15" s="17"/>
      <c r="AA15" s="17"/>
      <c r="AB15" s="17"/>
      <c r="AC15" s="17"/>
      <c r="AD15" s="17"/>
      <c r="AE15" s="17"/>
      <c r="AF15" s="17"/>
    </row>
    <row r="16" ht="15.75" customHeight="1">
      <c r="A16" s="17"/>
      <c r="B16" s="125">
        <v>2.0</v>
      </c>
      <c r="C16" s="113" t="str">
        <f>IF('INPUT DATA'!L12="","",'INPUT DATA'!L12)</f>
        <v>B</v>
      </c>
      <c r="D16" s="114"/>
      <c r="E16" s="115"/>
      <c r="F16" s="116">
        <f>IF('INPUT DATA'!M12="","",'INPUT DATA'!M12)</f>
        <v>2</v>
      </c>
      <c r="G16" s="115"/>
      <c r="H16" s="128">
        <f>IF('INPUT DATA'!N12="","",'INPUT DATA'!N12)</f>
        <v>40574</v>
      </c>
      <c r="I16" s="129">
        <f t="shared" si="1"/>
        <v>15</v>
      </c>
      <c r="J16" s="130"/>
      <c r="K16" s="131"/>
      <c r="L16" s="130"/>
      <c r="M16" s="130"/>
      <c r="N16" s="130"/>
      <c r="O16" s="130"/>
      <c r="P16" s="130"/>
      <c r="Q16" s="130"/>
      <c r="R16" s="130"/>
      <c r="S16" s="130"/>
      <c r="T16" s="122" t="str">
        <f t="shared" si="2"/>
        <v/>
      </c>
      <c r="U16" s="123" t="str">
        <f t="shared" si="3"/>
        <v/>
      </c>
      <c r="V16" s="17"/>
      <c r="W16" s="17"/>
      <c r="X16" s="17"/>
      <c r="Y16" s="17"/>
      <c r="Z16" s="17"/>
      <c r="AA16" s="17"/>
      <c r="AB16" s="17"/>
      <c r="AC16" s="17"/>
      <c r="AD16" s="17"/>
      <c r="AE16" s="17"/>
      <c r="AF16" s="17"/>
    </row>
    <row r="17" ht="15.75" customHeight="1">
      <c r="A17" s="17"/>
      <c r="B17" s="125">
        <v>3.0</v>
      </c>
      <c r="C17" s="113" t="str">
        <f>IF('INPUT DATA'!L13="","",'INPUT DATA'!L13)</f>
        <v/>
      </c>
      <c r="D17" s="114"/>
      <c r="E17" s="115"/>
      <c r="F17" s="116" t="str">
        <f>IF('INPUT DATA'!M13="","",'INPUT DATA'!M13)</f>
        <v/>
      </c>
      <c r="G17" s="115"/>
      <c r="H17" s="128" t="str">
        <f>IF('INPUT DATA'!N13="","",'INPUT DATA'!N13)</f>
        <v/>
      </c>
      <c r="I17" s="129" t="str">
        <f t="shared" si="1"/>
        <v/>
      </c>
      <c r="J17" s="130"/>
      <c r="K17" s="131"/>
      <c r="L17" s="130"/>
      <c r="M17" s="130"/>
      <c r="N17" s="130"/>
      <c r="O17" s="130"/>
      <c r="P17" s="130"/>
      <c r="Q17" s="130"/>
      <c r="R17" s="130"/>
      <c r="S17" s="130"/>
      <c r="T17" s="122" t="str">
        <f t="shared" si="2"/>
        <v/>
      </c>
      <c r="U17" s="123" t="str">
        <f t="shared" si="3"/>
        <v/>
      </c>
      <c r="V17" s="17"/>
      <c r="W17" s="17"/>
      <c r="X17" s="17"/>
      <c r="Y17" s="17"/>
      <c r="Z17" s="17"/>
      <c r="AA17" s="17"/>
      <c r="AB17" s="17"/>
      <c r="AC17" s="17"/>
      <c r="AD17" s="17"/>
      <c r="AE17" s="17"/>
      <c r="AF17" s="17"/>
    </row>
    <row r="18" ht="15.75" customHeight="1">
      <c r="A18" s="17"/>
      <c r="B18" s="125">
        <v>4.0</v>
      </c>
      <c r="C18" s="113" t="str">
        <f>IF('INPUT DATA'!L14="","",'INPUT DATA'!L14)</f>
        <v/>
      </c>
      <c r="D18" s="114"/>
      <c r="E18" s="115"/>
      <c r="F18" s="116" t="str">
        <f>IF('INPUT DATA'!M14="","",'INPUT DATA'!M14)</f>
        <v/>
      </c>
      <c r="G18" s="115"/>
      <c r="H18" s="128" t="str">
        <f>IF('INPUT DATA'!N14="","",'INPUT DATA'!N14)</f>
        <v/>
      </c>
      <c r="I18" s="129" t="str">
        <f t="shared" si="1"/>
        <v/>
      </c>
      <c r="J18" s="130"/>
      <c r="K18" s="131"/>
      <c r="L18" s="130"/>
      <c r="M18" s="130"/>
      <c r="N18" s="130"/>
      <c r="O18" s="130"/>
      <c r="P18" s="130"/>
      <c r="Q18" s="130"/>
      <c r="R18" s="130"/>
      <c r="S18" s="130"/>
      <c r="T18" s="122" t="str">
        <f t="shared" si="2"/>
        <v/>
      </c>
      <c r="U18" s="123" t="str">
        <f t="shared" si="3"/>
        <v/>
      </c>
      <c r="V18" s="17"/>
      <c r="W18" s="17"/>
      <c r="X18" s="17"/>
      <c r="Y18" s="17"/>
      <c r="Z18" s="17"/>
      <c r="AA18" s="17"/>
      <c r="AB18" s="17"/>
      <c r="AC18" s="17"/>
      <c r="AD18" s="17"/>
      <c r="AE18" s="17"/>
      <c r="AF18" s="17"/>
    </row>
    <row r="19" ht="15.75" customHeight="1">
      <c r="A19" s="17"/>
      <c r="B19" s="125">
        <v>5.0</v>
      </c>
      <c r="C19" s="113" t="str">
        <f>IF('INPUT DATA'!L15="","",'INPUT DATA'!L15)</f>
        <v/>
      </c>
      <c r="D19" s="114"/>
      <c r="E19" s="115"/>
      <c r="F19" s="116" t="str">
        <f>IF('INPUT DATA'!M15="","",'INPUT DATA'!M15)</f>
        <v/>
      </c>
      <c r="G19" s="115"/>
      <c r="H19" s="128" t="str">
        <f>IF('INPUT DATA'!N15="","",'INPUT DATA'!N15)</f>
        <v/>
      </c>
      <c r="I19" s="129" t="str">
        <f t="shared" si="1"/>
        <v/>
      </c>
      <c r="J19" s="130"/>
      <c r="K19" s="131"/>
      <c r="L19" s="130"/>
      <c r="M19" s="130"/>
      <c r="N19" s="130"/>
      <c r="O19" s="130"/>
      <c r="P19" s="130"/>
      <c r="Q19" s="130"/>
      <c r="R19" s="130"/>
      <c r="S19" s="130"/>
      <c r="T19" s="122" t="str">
        <f t="shared" si="2"/>
        <v/>
      </c>
      <c r="U19" s="123" t="str">
        <f t="shared" si="3"/>
        <v/>
      </c>
      <c r="V19" s="17"/>
      <c r="W19" s="17"/>
      <c r="X19" s="17"/>
      <c r="Y19" s="17"/>
      <c r="Z19" s="17"/>
      <c r="AA19" s="17"/>
      <c r="AB19" s="17"/>
      <c r="AC19" s="17"/>
      <c r="AD19" s="17"/>
      <c r="AE19" s="17"/>
      <c r="AF19" s="17"/>
    </row>
    <row r="20" ht="15.75" customHeight="1">
      <c r="A20" s="17"/>
      <c r="B20" s="125">
        <v>6.0</v>
      </c>
      <c r="C20" s="113" t="str">
        <f>IF('INPUT DATA'!L16="","",'INPUT DATA'!L16)</f>
        <v/>
      </c>
      <c r="D20" s="114"/>
      <c r="E20" s="115"/>
      <c r="F20" s="116" t="str">
        <f>IF('INPUT DATA'!M16="","",'INPUT DATA'!M16)</f>
        <v/>
      </c>
      <c r="G20" s="115"/>
      <c r="H20" s="128" t="str">
        <f>IF('INPUT DATA'!N16="","",'INPUT DATA'!N16)</f>
        <v/>
      </c>
      <c r="I20" s="129" t="str">
        <f t="shared" si="1"/>
        <v/>
      </c>
      <c r="J20" s="130"/>
      <c r="K20" s="131"/>
      <c r="L20" s="130"/>
      <c r="M20" s="130"/>
      <c r="N20" s="130"/>
      <c r="O20" s="130"/>
      <c r="P20" s="130"/>
      <c r="Q20" s="130"/>
      <c r="R20" s="130"/>
      <c r="S20" s="130"/>
      <c r="T20" s="122" t="str">
        <f t="shared" si="2"/>
        <v/>
      </c>
      <c r="U20" s="123" t="str">
        <f t="shared" si="3"/>
        <v/>
      </c>
      <c r="V20" s="17"/>
      <c r="W20" s="17"/>
      <c r="X20" s="17"/>
      <c r="Y20" s="17"/>
      <c r="Z20" s="17"/>
      <c r="AA20" s="17"/>
      <c r="AB20" s="17"/>
      <c r="AC20" s="17"/>
      <c r="AD20" s="17"/>
      <c r="AE20" s="17"/>
      <c r="AF20" s="17"/>
    </row>
    <row r="21" ht="15.75" customHeight="1">
      <c r="A21" s="17"/>
      <c r="B21" s="125">
        <v>7.0</v>
      </c>
      <c r="C21" s="113" t="str">
        <f>IF('INPUT DATA'!L17="","",'INPUT DATA'!L17)</f>
        <v/>
      </c>
      <c r="D21" s="114"/>
      <c r="E21" s="115"/>
      <c r="F21" s="116" t="str">
        <f>IF('INPUT DATA'!M17="","",'INPUT DATA'!M17)</f>
        <v/>
      </c>
      <c r="G21" s="115"/>
      <c r="H21" s="128" t="str">
        <f>IF('INPUT DATA'!N17="","",'INPUT DATA'!N17)</f>
        <v/>
      </c>
      <c r="I21" s="129" t="str">
        <f t="shared" si="1"/>
        <v/>
      </c>
      <c r="J21" s="130"/>
      <c r="K21" s="131"/>
      <c r="L21" s="130"/>
      <c r="M21" s="130"/>
      <c r="N21" s="130"/>
      <c r="O21" s="130"/>
      <c r="P21" s="130"/>
      <c r="Q21" s="130"/>
      <c r="R21" s="130"/>
      <c r="S21" s="130"/>
      <c r="T21" s="122" t="str">
        <f t="shared" si="2"/>
        <v/>
      </c>
      <c r="U21" s="123" t="str">
        <f t="shared" si="3"/>
        <v/>
      </c>
      <c r="V21" s="17"/>
      <c r="W21" s="17"/>
      <c r="X21" s="17"/>
      <c r="Y21" s="17"/>
      <c r="Z21" s="17"/>
      <c r="AA21" s="17"/>
      <c r="AB21" s="17"/>
      <c r="AC21" s="17"/>
      <c r="AD21" s="17"/>
      <c r="AE21" s="17"/>
      <c r="AF21" s="17"/>
    </row>
    <row r="22" ht="15.75" customHeight="1">
      <c r="A22" s="17"/>
      <c r="B22" s="125">
        <v>8.0</v>
      </c>
      <c r="C22" s="113" t="str">
        <f>IF('INPUT DATA'!L18="","",'INPUT DATA'!L18)</f>
        <v/>
      </c>
      <c r="D22" s="114"/>
      <c r="E22" s="115"/>
      <c r="F22" s="116" t="str">
        <f>IF('INPUT DATA'!M18="","",'INPUT DATA'!M18)</f>
        <v/>
      </c>
      <c r="G22" s="115"/>
      <c r="H22" s="128" t="str">
        <f>IF('INPUT DATA'!N18="","",'INPUT DATA'!N18)</f>
        <v/>
      </c>
      <c r="I22" s="129" t="str">
        <f t="shared" si="1"/>
        <v/>
      </c>
      <c r="J22" s="130"/>
      <c r="K22" s="131"/>
      <c r="L22" s="130"/>
      <c r="M22" s="130"/>
      <c r="N22" s="130"/>
      <c r="O22" s="130"/>
      <c r="P22" s="130"/>
      <c r="Q22" s="130"/>
      <c r="R22" s="130"/>
      <c r="S22" s="130"/>
      <c r="T22" s="122" t="str">
        <f t="shared" si="2"/>
        <v/>
      </c>
      <c r="U22" s="123" t="str">
        <f t="shared" si="3"/>
        <v/>
      </c>
      <c r="V22" s="17"/>
      <c r="W22" s="17"/>
      <c r="X22" s="17"/>
      <c r="Y22" s="17"/>
      <c r="Z22" s="17"/>
      <c r="AA22" s="17"/>
      <c r="AB22" s="17"/>
      <c r="AC22" s="17"/>
      <c r="AD22" s="17"/>
      <c r="AE22" s="17"/>
      <c r="AF22" s="17"/>
    </row>
    <row r="23" ht="15.75" customHeight="1">
      <c r="A23" s="17"/>
      <c r="B23" s="125">
        <v>9.0</v>
      </c>
      <c r="C23" s="113" t="str">
        <f>IF('INPUT DATA'!L19="","",'INPUT DATA'!L19)</f>
        <v/>
      </c>
      <c r="D23" s="114"/>
      <c r="E23" s="115"/>
      <c r="F23" s="116" t="str">
        <f>IF('INPUT DATA'!M19="","",'INPUT DATA'!M19)</f>
        <v/>
      </c>
      <c r="G23" s="115"/>
      <c r="H23" s="128" t="str">
        <f>IF('INPUT DATA'!N19="","",'INPUT DATA'!N19)</f>
        <v/>
      </c>
      <c r="I23" s="129" t="str">
        <f t="shared" si="1"/>
        <v/>
      </c>
      <c r="J23" s="130"/>
      <c r="K23" s="131"/>
      <c r="L23" s="130"/>
      <c r="M23" s="130"/>
      <c r="N23" s="130"/>
      <c r="O23" s="130"/>
      <c r="P23" s="130"/>
      <c r="Q23" s="130"/>
      <c r="R23" s="130"/>
      <c r="S23" s="130"/>
      <c r="T23" s="122" t="str">
        <f t="shared" si="2"/>
        <v/>
      </c>
      <c r="U23" s="123" t="str">
        <f t="shared" si="3"/>
        <v/>
      </c>
      <c r="V23" s="17"/>
      <c r="W23" s="17"/>
      <c r="X23" s="17"/>
      <c r="Y23" s="17"/>
      <c r="Z23" s="17"/>
      <c r="AA23" s="17"/>
      <c r="AB23" s="17"/>
      <c r="AC23" s="17"/>
      <c r="AD23" s="17"/>
      <c r="AE23" s="17"/>
      <c r="AF23" s="17"/>
    </row>
    <row r="24" ht="15.75" customHeight="1">
      <c r="A24" s="17"/>
      <c r="B24" s="125">
        <v>10.0</v>
      </c>
      <c r="C24" s="113" t="str">
        <f>IF('INPUT DATA'!L20="","",'INPUT DATA'!L20)</f>
        <v/>
      </c>
      <c r="D24" s="114"/>
      <c r="E24" s="115"/>
      <c r="F24" s="116" t="str">
        <f>IF('INPUT DATA'!M20="","",'INPUT DATA'!M20)</f>
        <v/>
      </c>
      <c r="G24" s="115"/>
      <c r="H24" s="128" t="str">
        <f>IF('INPUT DATA'!N20="","",'INPUT DATA'!N20)</f>
        <v/>
      </c>
      <c r="I24" s="129" t="str">
        <f t="shared" si="1"/>
        <v/>
      </c>
      <c r="J24" s="130"/>
      <c r="K24" s="131"/>
      <c r="L24" s="130"/>
      <c r="M24" s="130"/>
      <c r="N24" s="130"/>
      <c r="O24" s="130"/>
      <c r="P24" s="130"/>
      <c r="Q24" s="130"/>
      <c r="R24" s="130"/>
      <c r="S24" s="130"/>
      <c r="T24" s="122" t="str">
        <f t="shared" si="2"/>
        <v/>
      </c>
      <c r="U24" s="123" t="str">
        <f t="shared" si="3"/>
        <v/>
      </c>
      <c r="V24" s="17"/>
      <c r="W24" s="17"/>
      <c r="X24" s="17"/>
      <c r="Y24" s="17"/>
      <c r="Z24" s="17"/>
      <c r="AA24" s="17"/>
      <c r="AB24" s="17"/>
      <c r="AC24" s="17"/>
      <c r="AD24" s="17"/>
      <c r="AE24" s="17"/>
      <c r="AF24" s="17"/>
    </row>
    <row r="25" ht="15.75" customHeight="1">
      <c r="A25" s="17"/>
      <c r="B25" s="125">
        <v>11.0</v>
      </c>
      <c r="C25" s="113" t="str">
        <f>IF('INPUT DATA'!L21="","",'INPUT DATA'!L21)</f>
        <v/>
      </c>
      <c r="D25" s="114"/>
      <c r="E25" s="115"/>
      <c r="F25" s="116" t="str">
        <f>IF('INPUT DATA'!M21="","",'INPUT DATA'!M21)</f>
        <v/>
      </c>
      <c r="G25" s="115"/>
      <c r="H25" s="128" t="str">
        <f>IF('INPUT DATA'!N21="","",'INPUT DATA'!N21)</f>
        <v/>
      </c>
      <c r="I25" s="129" t="str">
        <f t="shared" si="1"/>
        <v/>
      </c>
      <c r="J25" s="130"/>
      <c r="K25" s="131"/>
      <c r="L25" s="130"/>
      <c r="M25" s="130"/>
      <c r="N25" s="130"/>
      <c r="O25" s="130"/>
      <c r="P25" s="130"/>
      <c r="Q25" s="130"/>
      <c r="R25" s="130"/>
      <c r="S25" s="130"/>
      <c r="T25" s="122" t="str">
        <f t="shared" si="2"/>
        <v/>
      </c>
      <c r="U25" s="123" t="str">
        <f t="shared" si="3"/>
        <v/>
      </c>
      <c r="V25" s="17"/>
      <c r="W25" s="17"/>
      <c r="X25" s="17"/>
      <c r="Y25" s="17"/>
      <c r="Z25" s="17"/>
      <c r="AA25" s="17"/>
      <c r="AB25" s="17"/>
      <c r="AC25" s="17"/>
      <c r="AD25" s="17"/>
      <c r="AE25" s="17"/>
      <c r="AF25" s="17"/>
    </row>
    <row r="26" ht="15.75" customHeight="1">
      <c r="A26" s="17"/>
      <c r="B26" s="125">
        <v>12.0</v>
      </c>
      <c r="C26" s="113" t="str">
        <f>IF('INPUT DATA'!L22="","",'INPUT DATA'!L22)</f>
        <v/>
      </c>
      <c r="D26" s="114"/>
      <c r="E26" s="115"/>
      <c r="F26" s="116" t="str">
        <f>IF('INPUT DATA'!M22="","",'INPUT DATA'!M22)</f>
        <v/>
      </c>
      <c r="G26" s="115"/>
      <c r="H26" s="128" t="str">
        <f>IF('INPUT DATA'!N22="","",'INPUT DATA'!N22)</f>
        <v/>
      </c>
      <c r="I26" s="129" t="str">
        <f t="shared" si="1"/>
        <v/>
      </c>
      <c r="J26" s="130"/>
      <c r="K26" s="131"/>
      <c r="L26" s="130"/>
      <c r="M26" s="130"/>
      <c r="N26" s="130"/>
      <c r="O26" s="130"/>
      <c r="P26" s="130"/>
      <c r="Q26" s="130"/>
      <c r="R26" s="130"/>
      <c r="S26" s="130"/>
      <c r="T26" s="122" t="str">
        <f t="shared" si="2"/>
        <v/>
      </c>
      <c r="U26" s="123" t="str">
        <f t="shared" si="3"/>
        <v/>
      </c>
      <c r="V26" s="17"/>
      <c r="W26" s="17"/>
      <c r="X26" s="17"/>
      <c r="Y26" s="17"/>
      <c r="Z26" s="17"/>
      <c r="AA26" s="17"/>
      <c r="AB26" s="17"/>
      <c r="AC26" s="17"/>
      <c r="AD26" s="17"/>
      <c r="AE26" s="17"/>
      <c r="AF26" s="17"/>
    </row>
    <row r="27" ht="15.75" customHeight="1">
      <c r="A27" s="17"/>
      <c r="B27" s="125">
        <v>13.0</v>
      </c>
      <c r="C27" s="113" t="str">
        <f>IF('INPUT DATA'!L23="","",'INPUT DATA'!L23)</f>
        <v/>
      </c>
      <c r="D27" s="114"/>
      <c r="E27" s="115"/>
      <c r="F27" s="116" t="str">
        <f>IF('INPUT DATA'!M23="","",'INPUT DATA'!M23)</f>
        <v/>
      </c>
      <c r="G27" s="115"/>
      <c r="H27" s="128" t="str">
        <f>IF('INPUT DATA'!N23="","",'INPUT DATA'!N23)</f>
        <v/>
      </c>
      <c r="I27" s="129" t="str">
        <f t="shared" si="1"/>
        <v/>
      </c>
      <c r="J27" s="130"/>
      <c r="K27" s="131"/>
      <c r="L27" s="130"/>
      <c r="M27" s="130"/>
      <c r="N27" s="130"/>
      <c r="O27" s="130"/>
      <c r="P27" s="130"/>
      <c r="Q27" s="130"/>
      <c r="R27" s="130"/>
      <c r="S27" s="130"/>
      <c r="T27" s="122" t="str">
        <f t="shared" si="2"/>
        <v/>
      </c>
      <c r="U27" s="123" t="str">
        <f t="shared" si="3"/>
        <v/>
      </c>
      <c r="V27" s="17"/>
      <c r="W27" s="17"/>
      <c r="X27" s="17"/>
      <c r="Y27" s="17"/>
      <c r="Z27" s="17"/>
      <c r="AA27" s="17"/>
      <c r="AB27" s="17"/>
      <c r="AC27" s="17"/>
      <c r="AD27" s="17"/>
      <c r="AE27" s="17"/>
      <c r="AF27" s="17"/>
    </row>
    <row r="28" ht="15.75" customHeight="1">
      <c r="A28" s="17"/>
      <c r="B28" s="125">
        <v>14.0</v>
      </c>
      <c r="C28" s="113" t="str">
        <f>IF('INPUT DATA'!L24="","",'INPUT DATA'!L24)</f>
        <v/>
      </c>
      <c r="D28" s="114"/>
      <c r="E28" s="115"/>
      <c r="F28" s="116" t="str">
        <f>IF('INPUT DATA'!M24="","",'INPUT DATA'!M24)</f>
        <v/>
      </c>
      <c r="G28" s="115"/>
      <c r="H28" s="128" t="str">
        <f>IF('INPUT DATA'!N24="","",'INPUT DATA'!N24)</f>
        <v/>
      </c>
      <c r="I28" s="129" t="str">
        <f t="shared" si="1"/>
        <v/>
      </c>
      <c r="J28" s="130"/>
      <c r="K28" s="131"/>
      <c r="L28" s="130"/>
      <c r="M28" s="130"/>
      <c r="N28" s="130"/>
      <c r="O28" s="130"/>
      <c r="P28" s="130"/>
      <c r="Q28" s="130"/>
      <c r="R28" s="130"/>
      <c r="S28" s="130"/>
      <c r="T28" s="122" t="str">
        <f t="shared" si="2"/>
        <v/>
      </c>
      <c r="U28" s="123" t="str">
        <f t="shared" si="3"/>
        <v/>
      </c>
      <c r="V28" s="17"/>
      <c r="W28" s="17"/>
      <c r="X28" s="17"/>
      <c r="Y28" s="17"/>
      <c r="Z28" s="17"/>
      <c r="AA28" s="17"/>
      <c r="AB28" s="17"/>
      <c r="AC28" s="17"/>
      <c r="AD28" s="17"/>
      <c r="AE28" s="17"/>
      <c r="AF28" s="17"/>
    </row>
    <row r="29" ht="15.75" customHeight="1">
      <c r="A29" s="17"/>
      <c r="B29" s="125">
        <v>15.0</v>
      </c>
      <c r="C29" s="113" t="str">
        <f>IF('INPUT DATA'!L25="","",'INPUT DATA'!L25)</f>
        <v/>
      </c>
      <c r="D29" s="114"/>
      <c r="E29" s="115"/>
      <c r="F29" s="116" t="str">
        <f>IF('INPUT DATA'!M25="","",'INPUT DATA'!M25)</f>
        <v/>
      </c>
      <c r="G29" s="115"/>
      <c r="H29" s="128" t="str">
        <f>IF('INPUT DATA'!N25="","",'INPUT DATA'!N25)</f>
        <v/>
      </c>
      <c r="I29" s="129" t="str">
        <f t="shared" si="1"/>
        <v/>
      </c>
      <c r="J29" s="130"/>
      <c r="K29" s="131"/>
      <c r="L29" s="130"/>
      <c r="M29" s="130"/>
      <c r="N29" s="130"/>
      <c r="O29" s="130"/>
      <c r="P29" s="130"/>
      <c r="Q29" s="130"/>
      <c r="R29" s="130"/>
      <c r="S29" s="130"/>
      <c r="T29" s="122" t="str">
        <f t="shared" si="2"/>
        <v/>
      </c>
      <c r="U29" s="123" t="str">
        <f t="shared" si="3"/>
        <v/>
      </c>
      <c r="V29" s="17"/>
      <c r="W29" s="17"/>
      <c r="X29" s="17"/>
      <c r="Y29" s="17"/>
      <c r="Z29" s="17"/>
      <c r="AA29" s="17"/>
      <c r="AB29" s="17"/>
      <c r="AC29" s="17"/>
      <c r="AD29" s="17"/>
      <c r="AE29" s="17"/>
      <c r="AF29" s="17"/>
    </row>
    <row r="30" ht="15.75" customHeight="1">
      <c r="A30" s="17"/>
      <c r="B30" s="125">
        <v>16.0</v>
      </c>
      <c r="C30" s="113" t="str">
        <f>IF('INPUT DATA'!L26="","",'INPUT DATA'!L26)</f>
        <v/>
      </c>
      <c r="D30" s="114"/>
      <c r="E30" s="115"/>
      <c r="F30" s="116" t="str">
        <f>IF('INPUT DATA'!M26="","",'INPUT DATA'!M26)</f>
        <v/>
      </c>
      <c r="G30" s="115"/>
      <c r="H30" s="128" t="str">
        <f>IF('INPUT DATA'!N26="","",'INPUT DATA'!N26)</f>
        <v/>
      </c>
      <c r="I30" s="129" t="str">
        <f t="shared" si="1"/>
        <v/>
      </c>
      <c r="J30" s="130"/>
      <c r="K30" s="131"/>
      <c r="L30" s="130"/>
      <c r="M30" s="130"/>
      <c r="N30" s="130"/>
      <c r="O30" s="130"/>
      <c r="P30" s="130"/>
      <c r="Q30" s="130"/>
      <c r="R30" s="130"/>
      <c r="S30" s="130"/>
      <c r="T30" s="122" t="str">
        <f t="shared" si="2"/>
        <v/>
      </c>
      <c r="U30" s="123" t="str">
        <f t="shared" si="3"/>
        <v/>
      </c>
      <c r="V30" s="17"/>
      <c r="W30" s="17"/>
      <c r="X30" s="17"/>
      <c r="Y30" s="17"/>
      <c r="Z30" s="17"/>
      <c r="AA30" s="17"/>
      <c r="AB30" s="17"/>
      <c r="AC30" s="17"/>
      <c r="AD30" s="17"/>
      <c r="AE30" s="17"/>
      <c r="AF30" s="17"/>
    </row>
    <row r="31" ht="15.75" customHeight="1">
      <c r="A31" s="17"/>
      <c r="B31" s="125">
        <v>17.0</v>
      </c>
      <c r="C31" s="113" t="str">
        <f>IF('INPUT DATA'!L27="","",'INPUT DATA'!L27)</f>
        <v/>
      </c>
      <c r="D31" s="114"/>
      <c r="E31" s="115"/>
      <c r="F31" s="116" t="str">
        <f>IF('INPUT DATA'!M27="","",'INPUT DATA'!M27)</f>
        <v/>
      </c>
      <c r="G31" s="115"/>
      <c r="H31" s="128" t="str">
        <f>IF('INPUT DATA'!N27="","",'INPUT DATA'!N27)</f>
        <v/>
      </c>
      <c r="I31" s="129" t="str">
        <f t="shared" si="1"/>
        <v/>
      </c>
      <c r="J31" s="130"/>
      <c r="K31" s="131"/>
      <c r="L31" s="130"/>
      <c r="M31" s="130"/>
      <c r="N31" s="130"/>
      <c r="O31" s="130"/>
      <c r="P31" s="130"/>
      <c r="Q31" s="130"/>
      <c r="R31" s="130"/>
      <c r="S31" s="130"/>
      <c r="T31" s="122" t="str">
        <f t="shared" si="2"/>
        <v/>
      </c>
      <c r="U31" s="123" t="str">
        <f t="shared" si="3"/>
        <v/>
      </c>
      <c r="V31" s="17"/>
      <c r="W31" s="17"/>
      <c r="X31" s="17"/>
      <c r="Y31" s="17"/>
      <c r="Z31" s="17"/>
      <c r="AA31" s="17"/>
      <c r="AB31" s="17"/>
      <c r="AC31" s="17"/>
      <c r="AD31" s="17"/>
      <c r="AE31" s="17"/>
      <c r="AF31" s="17"/>
    </row>
    <row r="32" ht="15.75" customHeight="1">
      <c r="A32" s="17"/>
      <c r="B32" s="125">
        <v>18.0</v>
      </c>
      <c r="C32" s="113" t="str">
        <f>IF('INPUT DATA'!L28="","",'INPUT DATA'!L28)</f>
        <v/>
      </c>
      <c r="D32" s="114"/>
      <c r="E32" s="115"/>
      <c r="F32" s="116" t="str">
        <f>IF('INPUT DATA'!M28="","",'INPUT DATA'!M28)</f>
        <v/>
      </c>
      <c r="G32" s="115"/>
      <c r="H32" s="128" t="str">
        <f>IF('INPUT DATA'!N28="","",'INPUT DATA'!N28)</f>
        <v/>
      </c>
      <c r="I32" s="129" t="str">
        <f t="shared" si="1"/>
        <v/>
      </c>
      <c r="J32" s="130"/>
      <c r="K32" s="131"/>
      <c r="L32" s="130"/>
      <c r="M32" s="130"/>
      <c r="N32" s="130"/>
      <c r="O32" s="130"/>
      <c r="P32" s="130"/>
      <c r="Q32" s="130"/>
      <c r="R32" s="130"/>
      <c r="S32" s="130"/>
      <c r="T32" s="122" t="str">
        <f t="shared" si="2"/>
        <v/>
      </c>
      <c r="U32" s="123" t="str">
        <f t="shared" si="3"/>
        <v/>
      </c>
      <c r="V32" s="17"/>
      <c r="W32" s="17"/>
      <c r="X32" s="17"/>
      <c r="Y32" s="17"/>
      <c r="Z32" s="17"/>
      <c r="AA32" s="17"/>
      <c r="AB32" s="17"/>
      <c r="AC32" s="17"/>
      <c r="AD32" s="17"/>
      <c r="AE32" s="17"/>
      <c r="AF32" s="17"/>
    </row>
    <row r="33" ht="15.75" customHeight="1">
      <c r="A33" s="17"/>
      <c r="B33" s="125">
        <v>19.0</v>
      </c>
      <c r="C33" s="113" t="str">
        <f>IF('INPUT DATA'!L29="","",'INPUT DATA'!L29)</f>
        <v/>
      </c>
      <c r="D33" s="114"/>
      <c r="E33" s="115"/>
      <c r="F33" s="116" t="str">
        <f>IF('INPUT DATA'!M29="","",'INPUT DATA'!M29)</f>
        <v/>
      </c>
      <c r="G33" s="115"/>
      <c r="H33" s="128" t="str">
        <f>IF('INPUT DATA'!N29="","",'INPUT DATA'!N29)</f>
        <v/>
      </c>
      <c r="I33" s="129" t="str">
        <f t="shared" si="1"/>
        <v/>
      </c>
      <c r="J33" s="130"/>
      <c r="K33" s="131"/>
      <c r="L33" s="130"/>
      <c r="M33" s="130"/>
      <c r="N33" s="130"/>
      <c r="O33" s="130"/>
      <c r="P33" s="130"/>
      <c r="Q33" s="130"/>
      <c r="R33" s="130"/>
      <c r="S33" s="130"/>
      <c r="T33" s="122" t="str">
        <f t="shared" si="2"/>
        <v/>
      </c>
      <c r="U33" s="123" t="str">
        <f t="shared" si="3"/>
        <v/>
      </c>
      <c r="V33" s="17"/>
      <c r="W33" s="17"/>
      <c r="X33" s="17"/>
      <c r="Y33" s="17"/>
      <c r="Z33" s="17"/>
      <c r="AA33" s="17"/>
      <c r="AB33" s="17"/>
      <c r="AC33" s="17"/>
      <c r="AD33" s="17"/>
      <c r="AE33" s="17"/>
      <c r="AF33" s="17"/>
    </row>
    <row r="34" ht="15.75" customHeight="1">
      <c r="A34" s="17"/>
      <c r="B34" s="135">
        <v>20.0</v>
      </c>
      <c r="C34" s="113" t="str">
        <f>IF('INPUT DATA'!L30="","",'INPUT DATA'!L30)</f>
        <v/>
      </c>
      <c r="D34" s="114"/>
      <c r="E34" s="115"/>
      <c r="F34" s="116" t="str">
        <f>IF('INPUT DATA'!M30="","",'INPUT DATA'!M30)</f>
        <v/>
      </c>
      <c r="G34" s="115"/>
      <c r="H34" s="128" t="str">
        <f>IF('INPUT DATA'!N30="","",'INPUT DATA'!N30)</f>
        <v/>
      </c>
      <c r="I34" s="129" t="str">
        <f t="shared" si="1"/>
        <v/>
      </c>
      <c r="J34" s="130"/>
      <c r="K34" s="136"/>
      <c r="L34" s="137"/>
      <c r="M34" s="137"/>
      <c r="N34" s="137"/>
      <c r="O34" s="137"/>
      <c r="P34" s="137"/>
      <c r="Q34" s="137"/>
      <c r="R34" s="137"/>
      <c r="S34" s="137"/>
      <c r="T34" s="122" t="str">
        <f t="shared" si="2"/>
        <v/>
      </c>
      <c r="U34" s="123" t="str">
        <f t="shared" si="3"/>
        <v/>
      </c>
      <c r="V34" s="17"/>
      <c r="W34" s="17"/>
      <c r="X34" s="17"/>
      <c r="Y34" s="17"/>
      <c r="Z34" s="17"/>
      <c r="AA34" s="17"/>
      <c r="AB34" s="17"/>
      <c r="AC34" s="17"/>
      <c r="AD34" s="17"/>
      <c r="AE34" s="17"/>
      <c r="AF34" s="17"/>
    </row>
    <row r="35" ht="15.75" customHeight="1">
      <c r="A35" s="17"/>
      <c r="B35" s="135">
        <v>21.0</v>
      </c>
      <c r="C35" s="113" t="str">
        <f>IF('INPUT DATA'!L31="","",'INPUT DATA'!L31)</f>
        <v/>
      </c>
      <c r="D35" s="114"/>
      <c r="E35" s="115"/>
      <c r="F35" s="116" t="str">
        <f>IF('INPUT DATA'!M31="","",'INPUT DATA'!M31)</f>
        <v/>
      </c>
      <c r="G35" s="115"/>
      <c r="H35" s="128" t="str">
        <f>IF('INPUT DATA'!N31="","",'INPUT DATA'!N31)</f>
        <v/>
      </c>
      <c r="I35" s="129" t="str">
        <f t="shared" si="1"/>
        <v/>
      </c>
      <c r="J35" s="130"/>
      <c r="K35" s="131"/>
      <c r="L35" s="130"/>
      <c r="M35" s="130"/>
      <c r="N35" s="130"/>
      <c r="O35" s="130"/>
      <c r="P35" s="130"/>
      <c r="Q35" s="130"/>
      <c r="R35" s="130"/>
      <c r="S35" s="130"/>
      <c r="T35" s="122" t="str">
        <f t="shared" si="2"/>
        <v/>
      </c>
      <c r="U35" s="123" t="str">
        <f t="shared" si="3"/>
        <v/>
      </c>
      <c r="V35" s="17"/>
      <c r="W35" s="17"/>
      <c r="X35" s="17"/>
      <c r="Y35" s="17"/>
      <c r="Z35" s="17"/>
      <c r="AA35" s="17"/>
      <c r="AB35" s="17"/>
      <c r="AC35" s="17"/>
      <c r="AD35" s="17"/>
      <c r="AE35" s="17"/>
      <c r="AF35" s="17"/>
    </row>
    <row r="36" ht="15.75" customHeight="1">
      <c r="A36" s="17"/>
      <c r="B36" s="135">
        <v>22.0</v>
      </c>
      <c r="C36" s="113" t="str">
        <f>IF('INPUT DATA'!L32="","",'INPUT DATA'!L32)</f>
        <v/>
      </c>
      <c r="D36" s="114"/>
      <c r="E36" s="115"/>
      <c r="F36" s="116" t="str">
        <f>IF('INPUT DATA'!M32="","",'INPUT DATA'!M32)</f>
        <v/>
      </c>
      <c r="G36" s="115"/>
      <c r="H36" s="128" t="str">
        <f>IF('INPUT DATA'!N32="","",'INPUT DATA'!N32)</f>
        <v/>
      </c>
      <c r="I36" s="129" t="str">
        <f t="shared" si="1"/>
        <v/>
      </c>
      <c r="J36" s="130"/>
      <c r="K36" s="131"/>
      <c r="L36" s="130"/>
      <c r="M36" s="130"/>
      <c r="N36" s="130"/>
      <c r="O36" s="130"/>
      <c r="P36" s="130"/>
      <c r="Q36" s="130"/>
      <c r="R36" s="130"/>
      <c r="S36" s="130"/>
      <c r="T36" s="122" t="str">
        <f t="shared" si="2"/>
        <v/>
      </c>
      <c r="U36" s="123" t="str">
        <f t="shared" si="3"/>
        <v/>
      </c>
      <c r="V36" s="17"/>
      <c r="W36" s="17"/>
      <c r="X36" s="17"/>
      <c r="Y36" s="17"/>
      <c r="Z36" s="17"/>
      <c r="AA36" s="17"/>
      <c r="AB36" s="17"/>
      <c r="AC36" s="17"/>
      <c r="AD36" s="17"/>
      <c r="AE36" s="17"/>
      <c r="AF36" s="17"/>
    </row>
    <row r="37" ht="15.75" customHeight="1">
      <c r="A37" s="17"/>
      <c r="B37" s="135">
        <v>23.0</v>
      </c>
      <c r="C37" s="113" t="str">
        <f>IF('INPUT DATA'!L33="","",'INPUT DATA'!L33)</f>
        <v/>
      </c>
      <c r="D37" s="114"/>
      <c r="E37" s="115"/>
      <c r="F37" s="116" t="str">
        <f>IF('INPUT DATA'!M33="","",'INPUT DATA'!M33)</f>
        <v/>
      </c>
      <c r="G37" s="115"/>
      <c r="H37" s="128" t="str">
        <f>IF('INPUT DATA'!N33="","",'INPUT DATA'!N33)</f>
        <v/>
      </c>
      <c r="I37" s="129" t="str">
        <f t="shared" si="1"/>
        <v/>
      </c>
      <c r="J37" s="130"/>
      <c r="K37" s="131"/>
      <c r="L37" s="130"/>
      <c r="M37" s="130"/>
      <c r="N37" s="130"/>
      <c r="O37" s="130"/>
      <c r="P37" s="130"/>
      <c r="Q37" s="130"/>
      <c r="R37" s="130"/>
      <c r="S37" s="130"/>
      <c r="T37" s="122" t="str">
        <f t="shared" si="2"/>
        <v/>
      </c>
      <c r="U37" s="123" t="str">
        <f t="shared" si="3"/>
        <v/>
      </c>
      <c r="V37" s="17"/>
      <c r="W37" s="17"/>
      <c r="X37" s="17"/>
      <c r="Y37" s="17"/>
      <c r="Z37" s="17"/>
      <c r="AA37" s="17"/>
      <c r="AB37" s="17"/>
      <c r="AC37" s="17"/>
      <c r="AD37" s="17"/>
      <c r="AE37" s="17"/>
      <c r="AF37" s="17"/>
    </row>
    <row r="38" ht="15.75" customHeight="1">
      <c r="A38" s="17"/>
      <c r="B38" s="135">
        <v>24.0</v>
      </c>
      <c r="C38" s="113" t="str">
        <f>IF('INPUT DATA'!L34="","",'INPUT DATA'!L34)</f>
        <v/>
      </c>
      <c r="D38" s="114"/>
      <c r="E38" s="115"/>
      <c r="F38" s="116" t="str">
        <f>IF('INPUT DATA'!M34="","",'INPUT DATA'!M34)</f>
        <v/>
      </c>
      <c r="G38" s="115"/>
      <c r="H38" s="128" t="str">
        <f>IF('INPUT DATA'!N34="","",'INPUT DATA'!N34)</f>
        <v/>
      </c>
      <c r="I38" s="129" t="str">
        <f t="shared" si="1"/>
        <v/>
      </c>
      <c r="J38" s="130"/>
      <c r="K38" s="131"/>
      <c r="L38" s="130"/>
      <c r="M38" s="130"/>
      <c r="N38" s="130"/>
      <c r="O38" s="130"/>
      <c r="P38" s="130"/>
      <c r="Q38" s="130"/>
      <c r="R38" s="130"/>
      <c r="S38" s="130"/>
      <c r="T38" s="122" t="str">
        <f t="shared" si="2"/>
        <v/>
      </c>
      <c r="U38" s="123" t="str">
        <f t="shared" si="3"/>
        <v/>
      </c>
      <c r="V38" s="17"/>
      <c r="W38" s="17"/>
      <c r="X38" s="17"/>
      <c r="Y38" s="17"/>
      <c r="Z38" s="17"/>
      <c r="AA38" s="17"/>
      <c r="AB38" s="17"/>
      <c r="AC38" s="17"/>
      <c r="AD38" s="17"/>
      <c r="AE38" s="17"/>
      <c r="AF38" s="17"/>
    </row>
    <row r="39" ht="15.75" customHeight="1">
      <c r="A39" s="17"/>
      <c r="B39" s="135">
        <v>25.0</v>
      </c>
      <c r="C39" s="113" t="str">
        <f>IF('INPUT DATA'!L35="","",'INPUT DATA'!L35)</f>
        <v/>
      </c>
      <c r="D39" s="114"/>
      <c r="E39" s="115"/>
      <c r="F39" s="116" t="str">
        <f>IF('INPUT DATA'!M35="","",'INPUT DATA'!M35)</f>
        <v/>
      </c>
      <c r="G39" s="115"/>
      <c r="H39" s="128" t="str">
        <f>IF('INPUT DATA'!N35="","",'INPUT DATA'!N35)</f>
        <v/>
      </c>
      <c r="I39" s="129" t="str">
        <f t="shared" si="1"/>
        <v/>
      </c>
      <c r="J39" s="130"/>
      <c r="K39" s="131"/>
      <c r="L39" s="130"/>
      <c r="M39" s="130"/>
      <c r="N39" s="130"/>
      <c r="O39" s="130"/>
      <c r="P39" s="130"/>
      <c r="Q39" s="130"/>
      <c r="R39" s="130"/>
      <c r="S39" s="130"/>
      <c r="T39" s="122" t="str">
        <f t="shared" si="2"/>
        <v/>
      </c>
      <c r="U39" s="123" t="str">
        <f t="shared" si="3"/>
        <v/>
      </c>
      <c r="V39" s="17"/>
      <c r="W39" s="17"/>
      <c r="X39" s="17"/>
      <c r="Y39" s="17"/>
      <c r="Z39" s="17"/>
      <c r="AA39" s="17"/>
      <c r="AB39" s="17"/>
      <c r="AC39" s="17"/>
      <c r="AD39" s="17"/>
      <c r="AE39" s="17"/>
      <c r="AF39" s="17"/>
    </row>
    <row r="40" ht="15.75" customHeight="1">
      <c r="A40" s="17"/>
      <c r="B40" s="135">
        <v>26.0</v>
      </c>
      <c r="C40" s="113" t="str">
        <f>IF('INPUT DATA'!L36="","",'INPUT DATA'!L36)</f>
        <v/>
      </c>
      <c r="D40" s="114"/>
      <c r="E40" s="115"/>
      <c r="F40" s="116" t="str">
        <f>IF('INPUT DATA'!M36="","",'INPUT DATA'!M36)</f>
        <v/>
      </c>
      <c r="G40" s="115"/>
      <c r="H40" s="128" t="str">
        <f>IF('INPUT DATA'!N36="","",'INPUT DATA'!N36)</f>
        <v/>
      </c>
      <c r="I40" s="129" t="str">
        <f t="shared" si="1"/>
        <v/>
      </c>
      <c r="J40" s="130"/>
      <c r="K40" s="131"/>
      <c r="L40" s="130"/>
      <c r="M40" s="130"/>
      <c r="N40" s="130"/>
      <c r="O40" s="130"/>
      <c r="P40" s="130"/>
      <c r="Q40" s="130"/>
      <c r="R40" s="130"/>
      <c r="S40" s="130"/>
      <c r="T40" s="122" t="str">
        <f t="shared" si="2"/>
        <v/>
      </c>
      <c r="U40" s="123" t="str">
        <f t="shared" si="3"/>
        <v/>
      </c>
      <c r="V40" s="17"/>
      <c r="W40" s="17"/>
      <c r="X40" s="17"/>
      <c r="Y40" s="17"/>
      <c r="Z40" s="17"/>
      <c r="AA40" s="17"/>
      <c r="AB40" s="17"/>
      <c r="AC40" s="17"/>
      <c r="AD40" s="17"/>
      <c r="AE40" s="17"/>
      <c r="AF40" s="17"/>
    </row>
    <row r="41" ht="15.75" customHeight="1">
      <c r="A41" s="17"/>
      <c r="B41" s="135">
        <v>27.0</v>
      </c>
      <c r="C41" s="113" t="str">
        <f>IF('INPUT DATA'!L37="","",'INPUT DATA'!L37)</f>
        <v/>
      </c>
      <c r="D41" s="114"/>
      <c r="E41" s="115"/>
      <c r="F41" s="116" t="str">
        <f>IF('INPUT DATA'!M37="","",'INPUT DATA'!M37)</f>
        <v/>
      </c>
      <c r="G41" s="115"/>
      <c r="H41" s="128" t="str">
        <f>IF('INPUT DATA'!N37="","",'INPUT DATA'!N37)</f>
        <v/>
      </c>
      <c r="I41" s="129" t="str">
        <f t="shared" si="1"/>
        <v/>
      </c>
      <c r="J41" s="130"/>
      <c r="K41" s="131"/>
      <c r="L41" s="130"/>
      <c r="M41" s="130"/>
      <c r="N41" s="130"/>
      <c r="O41" s="130"/>
      <c r="P41" s="130"/>
      <c r="Q41" s="130"/>
      <c r="R41" s="130"/>
      <c r="S41" s="130"/>
      <c r="T41" s="122" t="str">
        <f t="shared" si="2"/>
        <v/>
      </c>
      <c r="U41" s="123" t="str">
        <f t="shared" si="3"/>
        <v/>
      </c>
      <c r="V41" s="17"/>
      <c r="W41" s="17"/>
      <c r="X41" s="17"/>
      <c r="Y41" s="17"/>
      <c r="Z41" s="17"/>
      <c r="AA41" s="17"/>
      <c r="AB41" s="17"/>
      <c r="AC41" s="17"/>
      <c r="AD41" s="17"/>
      <c r="AE41" s="17"/>
      <c r="AF41" s="17"/>
    </row>
    <row r="42" ht="15.75" customHeight="1">
      <c r="A42" s="17"/>
      <c r="B42" s="135">
        <v>28.0</v>
      </c>
      <c r="C42" s="113" t="str">
        <f>IF('INPUT DATA'!L38="","",'INPUT DATA'!L38)</f>
        <v/>
      </c>
      <c r="D42" s="114"/>
      <c r="E42" s="115"/>
      <c r="F42" s="116" t="str">
        <f>IF('INPUT DATA'!M38="","",'INPUT DATA'!M38)</f>
        <v/>
      </c>
      <c r="G42" s="115"/>
      <c r="H42" s="128" t="str">
        <f>IF('INPUT DATA'!N38="","",'INPUT DATA'!N38)</f>
        <v/>
      </c>
      <c r="I42" s="129" t="str">
        <f t="shared" si="1"/>
        <v/>
      </c>
      <c r="J42" s="130"/>
      <c r="K42" s="131"/>
      <c r="L42" s="130"/>
      <c r="M42" s="130"/>
      <c r="N42" s="130"/>
      <c r="O42" s="130"/>
      <c r="P42" s="130"/>
      <c r="Q42" s="130"/>
      <c r="R42" s="130"/>
      <c r="S42" s="130"/>
      <c r="T42" s="122" t="str">
        <f t="shared" si="2"/>
        <v/>
      </c>
      <c r="U42" s="123" t="str">
        <f t="shared" si="3"/>
        <v/>
      </c>
      <c r="V42" s="17"/>
      <c r="W42" s="17"/>
      <c r="X42" s="17"/>
      <c r="Y42" s="17"/>
      <c r="Z42" s="17"/>
      <c r="AA42" s="17"/>
      <c r="AB42" s="17"/>
      <c r="AC42" s="17"/>
      <c r="AD42" s="17"/>
      <c r="AE42" s="17"/>
      <c r="AF42" s="17"/>
    </row>
    <row r="43" ht="15.75" customHeight="1">
      <c r="A43" s="17"/>
      <c r="B43" s="135">
        <v>29.0</v>
      </c>
      <c r="C43" s="113" t="str">
        <f>IF('INPUT DATA'!L39="","",'INPUT DATA'!L39)</f>
        <v/>
      </c>
      <c r="D43" s="114"/>
      <c r="E43" s="115"/>
      <c r="F43" s="116" t="str">
        <f>IF('INPUT DATA'!M39="","",'INPUT DATA'!M39)</f>
        <v/>
      </c>
      <c r="G43" s="115"/>
      <c r="H43" s="128" t="str">
        <f>IF('INPUT DATA'!N39="","",'INPUT DATA'!N39)</f>
        <v/>
      </c>
      <c r="I43" s="129" t="str">
        <f t="shared" si="1"/>
        <v/>
      </c>
      <c r="J43" s="130"/>
      <c r="K43" s="131"/>
      <c r="L43" s="130"/>
      <c r="M43" s="130"/>
      <c r="N43" s="130"/>
      <c r="O43" s="130"/>
      <c r="P43" s="130"/>
      <c r="Q43" s="130"/>
      <c r="R43" s="130"/>
      <c r="S43" s="130"/>
      <c r="T43" s="122" t="str">
        <f t="shared" si="2"/>
        <v/>
      </c>
      <c r="U43" s="123" t="str">
        <f t="shared" si="3"/>
        <v/>
      </c>
      <c r="V43" s="17"/>
      <c r="W43" s="17"/>
      <c r="X43" s="17"/>
      <c r="Y43" s="17"/>
      <c r="Z43" s="17"/>
      <c r="AA43" s="17"/>
      <c r="AB43" s="17"/>
      <c r="AC43" s="17"/>
      <c r="AD43" s="17"/>
      <c r="AE43" s="17"/>
      <c r="AF43" s="17"/>
    </row>
    <row r="44" ht="15.75" customHeight="1">
      <c r="A44" s="17"/>
      <c r="B44" s="135">
        <v>30.0</v>
      </c>
      <c r="C44" s="113" t="str">
        <f>IF('INPUT DATA'!L40="","",'INPUT DATA'!L40)</f>
        <v/>
      </c>
      <c r="D44" s="114"/>
      <c r="E44" s="115"/>
      <c r="F44" s="116" t="str">
        <f>IF('INPUT DATA'!M40="","",'INPUT DATA'!M40)</f>
        <v/>
      </c>
      <c r="G44" s="115"/>
      <c r="H44" s="128" t="str">
        <f>IF('INPUT DATA'!N40="","",'INPUT DATA'!N40)</f>
        <v/>
      </c>
      <c r="I44" s="129" t="str">
        <f t="shared" si="1"/>
        <v/>
      </c>
      <c r="J44" s="130"/>
      <c r="K44" s="131"/>
      <c r="L44" s="130"/>
      <c r="M44" s="130"/>
      <c r="N44" s="130"/>
      <c r="O44" s="130"/>
      <c r="P44" s="130"/>
      <c r="Q44" s="130"/>
      <c r="R44" s="130"/>
      <c r="S44" s="130"/>
      <c r="T44" s="122" t="str">
        <f t="shared" si="2"/>
        <v/>
      </c>
      <c r="U44" s="123" t="str">
        <f t="shared" si="3"/>
        <v/>
      </c>
      <c r="V44" s="17"/>
      <c r="W44" s="17"/>
      <c r="X44" s="17"/>
      <c r="Y44" s="17"/>
      <c r="Z44" s="17"/>
      <c r="AA44" s="17"/>
      <c r="AB44" s="17"/>
      <c r="AC44" s="17"/>
      <c r="AD44" s="17"/>
      <c r="AE44" s="17"/>
      <c r="AF44" s="17"/>
    </row>
    <row r="45" ht="15.75" customHeight="1">
      <c r="A45" s="17"/>
      <c r="B45" s="135">
        <v>31.0</v>
      </c>
      <c r="C45" s="113" t="str">
        <f>IF('INPUT DATA'!L41="","",'INPUT DATA'!L41)</f>
        <v/>
      </c>
      <c r="D45" s="114"/>
      <c r="E45" s="115"/>
      <c r="F45" s="116" t="str">
        <f>IF('INPUT DATA'!M41="","",'INPUT DATA'!M41)</f>
        <v/>
      </c>
      <c r="G45" s="115"/>
      <c r="H45" s="128" t="str">
        <f>IF('INPUT DATA'!N41="","",'INPUT DATA'!N41)</f>
        <v/>
      </c>
      <c r="I45" s="129" t="str">
        <f t="shared" si="1"/>
        <v/>
      </c>
      <c r="J45" s="130"/>
      <c r="K45" s="131"/>
      <c r="L45" s="130"/>
      <c r="M45" s="130"/>
      <c r="N45" s="130"/>
      <c r="O45" s="130"/>
      <c r="P45" s="130"/>
      <c r="Q45" s="130"/>
      <c r="R45" s="130"/>
      <c r="S45" s="130"/>
      <c r="T45" s="122" t="str">
        <f t="shared" si="2"/>
        <v/>
      </c>
      <c r="U45" s="123" t="str">
        <f t="shared" si="3"/>
        <v/>
      </c>
      <c r="V45" s="17"/>
      <c r="W45" s="17"/>
      <c r="X45" s="17"/>
      <c r="Y45" s="17"/>
      <c r="Z45" s="17"/>
      <c r="AA45" s="17"/>
      <c r="AB45" s="17"/>
      <c r="AC45" s="17"/>
      <c r="AD45" s="17"/>
      <c r="AE45" s="17"/>
      <c r="AF45" s="17"/>
    </row>
    <row r="46" ht="15.75" customHeight="1">
      <c r="A46" s="17"/>
      <c r="B46" s="135">
        <v>32.0</v>
      </c>
      <c r="C46" s="113" t="str">
        <f>IF('INPUT DATA'!L42="","",'INPUT DATA'!L42)</f>
        <v/>
      </c>
      <c r="D46" s="114"/>
      <c r="E46" s="115"/>
      <c r="F46" s="116" t="str">
        <f>IF('INPUT DATA'!M42="","",'INPUT DATA'!M42)</f>
        <v/>
      </c>
      <c r="G46" s="115"/>
      <c r="H46" s="128" t="str">
        <f>IF('INPUT DATA'!N42="","",'INPUT DATA'!N42)</f>
        <v/>
      </c>
      <c r="I46" s="129" t="str">
        <f t="shared" si="1"/>
        <v/>
      </c>
      <c r="J46" s="130"/>
      <c r="K46" s="131"/>
      <c r="L46" s="130"/>
      <c r="M46" s="130"/>
      <c r="N46" s="130"/>
      <c r="O46" s="130"/>
      <c r="P46" s="130"/>
      <c r="Q46" s="130"/>
      <c r="R46" s="130"/>
      <c r="S46" s="130"/>
      <c r="T46" s="122" t="str">
        <f t="shared" si="2"/>
        <v/>
      </c>
      <c r="U46" s="123" t="str">
        <f t="shared" si="3"/>
        <v/>
      </c>
      <c r="V46" s="17"/>
      <c r="W46" s="17"/>
      <c r="X46" s="17"/>
      <c r="Y46" s="17"/>
      <c r="Z46" s="17"/>
      <c r="AA46" s="17"/>
      <c r="AB46" s="17"/>
      <c r="AC46" s="17"/>
      <c r="AD46" s="17"/>
      <c r="AE46" s="17"/>
      <c r="AF46" s="17"/>
    </row>
    <row r="47" ht="15.75" customHeight="1">
      <c r="A47" s="17"/>
      <c r="B47" s="135">
        <v>33.0</v>
      </c>
      <c r="C47" s="113" t="str">
        <f>IF('INPUT DATA'!L43="","",'INPUT DATA'!L43)</f>
        <v/>
      </c>
      <c r="D47" s="114"/>
      <c r="E47" s="115"/>
      <c r="F47" s="116" t="str">
        <f>IF('INPUT DATA'!M43="","",'INPUT DATA'!M43)</f>
        <v/>
      </c>
      <c r="G47" s="115"/>
      <c r="H47" s="128" t="str">
        <f>IF('INPUT DATA'!N43="","",'INPUT DATA'!N43)</f>
        <v/>
      </c>
      <c r="I47" s="129" t="str">
        <f t="shared" si="1"/>
        <v/>
      </c>
      <c r="J47" s="130"/>
      <c r="K47" s="131"/>
      <c r="L47" s="130"/>
      <c r="M47" s="130"/>
      <c r="N47" s="130"/>
      <c r="O47" s="130"/>
      <c r="P47" s="130"/>
      <c r="Q47" s="130"/>
      <c r="R47" s="130"/>
      <c r="S47" s="130"/>
      <c r="T47" s="122" t="str">
        <f t="shared" si="2"/>
        <v/>
      </c>
      <c r="U47" s="123" t="str">
        <f t="shared" si="3"/>
        <v/>
      </c>
      <c r="V47" s="17"/>
      <c r="W47" s="17"/>
      <c r="X47" s="17"/>
      <c r="Y47" s="17"/>
      <c r="Z47" s="17"/>
      <c r="AA47" s="17"/>
      <c r="AB47" s="17"/>
      <c r="AC47" s="17"/>
      <c r="AD47" s="17"/>
      <c r="AE47" s="17"/>
      <c r="AF47" s="17"/>
    </row>
    <row r="48" ht="15.75" customHeight="1">
      <c r="A48" s="17"/>
      <c r="B48" s="135">
        <v>34.0</v>
      </c>
      <c r="C48" s="113" t="str">
        <f>IF('INPUT DATA'!L44="","",'INPUT DATA'!L44)</f>
        <v/>
      </c>
      <c r="D48" s="114"/>
      <c r="E48" s="115"/>
      <c r="F48" s="116" t="str">
        <f>IF('INPUT DATA'!M44="","",'INPUT DATA'!M44)</f>
        <v/>
      </c>
      <c r="G48" s="115"/>
      <c r="H48" s="128" t="str">
        <f>IF('INPUT DATA'!N44="","",'INPUT DATA'!N44)</f>
        <v/>
      </c>
      <c r="I48" s="129" t="str">
        <f t="shared" si="1"/>
        <v/>
      </c>
      <c r="J48" s="130"/>
      <c r="K48" s="131"/>
      <c r="L48" s="130"/>
      <c r="M48" s="130"/>
      <c r="N48" s="130"/>
      <c r="O48" s="130"/>
      <c r="P48" s="130"/>
      <c r="Q48" s="130"/>
      <c r="R48" s="130"/>
      <c r="S48" s="130"/>
      <c r="T48" s="122" t="str">
        <f t="shared" si="2"/>
        <v/>
      </c>
      <c r="U48" s="123" t="str">
        <f t="shared" si="3"/>
        <v/>
      </c>
      <c r="V48" s="17"/>
      <c r="W48" s="17"/>
      <c r="X48" s="17"/>
      <c r="Y48" s="17"/>
      <c r="Z48" s="17"/>
      <c r="AA48" s="17"/>
      <c r="AB48" s="17"/>
      <c r="AC48" s="17"/>
      <c r="AD48" s="17"/>
      <c r="AE48" s="17"/>
      <c r="AF48" s="17"/>
    </row>
    <row r="49" ht="15.75" customHeight="1">
      <c r="A49" s="17"/>
      <c r="B49" s="135">
        <v>35.0</v>
      </c>
      <c r="C49" s="113" t="str">
        <f>IF('INPUT DATA'!L45="","",'INPUT DATA'!L45)</f>
        <v/>
      </c>
      <c r="D49" s="114"/>
      <c r="E49" s="115"/>
      <c r="F49" s="116" t="str">
        <f>IF('INPUT DATA'!M45="","",'INPUT DATA'!M45)</f>
        <v/>
      </c>
      <c r="G49" s="115"/>
      <c r="H49" s="128" t="str">
        <f>IF('INPUT DATA'!N45="","",'INPUT DATA'!N45)</f>
        <v/>
      </c>
      <c r="I49" s="129" t="str">
        <f t="shared" si="1"/>
        <v/>
      </c>
      <c r="J49" s="130"/>
      <c r="K49" s="131"/>
      <c r="L49" s="130"/>
      <c r="M49" s="130"/>
      <c r="N49" s="130"/>
      <c r="O49" s="130"/>
      <c r="P49" s="130"/>
      <c r="Q49" s="130"/>
      <c r="R49" s="130"/>
      <c r="S49" s="130"/>
      <c r="T49" s="122" t="str">
        <f t="shared" si="2"/>
        <v/>
      </c>
      <c r="U49" s="123" t="str">
        <f t="shared" si="3"/>
        <v/>
      </c>
      <c r="V49" s="17"/>
      <c r="W49" s="17"/>
      <c r="X49" s="17"/>
      <c r="Y49" s="17"/>
      <c r="Z49" s="17"/>
      <c r="AA49" s="17"/>
      <c r="AB49" s="17"/>
      <c r="AC49" s="17"/>
      <c r="AD49" s="17"/>
      <c r="AE49" s="17"/>
      <c r="AF49" s="17"/>
    </row>
    <row r="50" ht="15.75" customHeight="1">
      <c r="A50" s="17"/>
      <c r="B50" s="135">
        <v>36.0</v>
      </c>
      <c r="C50" s="113" t="str">
        <f>IF('INPUT DATA'!L46="","",'INPUT DATA'!L46)</f>
        <v/>
      </c>
      <c r="D50" s="114"/>
      <c r="E50" s="115"/>
      <c r="F50" s="116" t="str">
        <f>IF('INPUT DATA'!M46="","",'INPUT DATA'!M46)</f>
        <v/>
      </c>
      <c r="G50" s="115"/>
      <c r="H50" s="128" t="str">
        <f>IF('INPUT DATA'!N46="","",'INPUT DATA'!N46)</f>
        <v/>
      </c>
      <c r="I50" s="129" t="str">
        <f t="shared" si="1"/>
        <v/>
      </c>
      <c r="J50" s="130"/>
      <c r="K50" s="131"/>
      <c r="L50" s="130"/>
      <c r="M50" s="130"/>
      <c r="N50" s="130"/>
      <c r="O50" s="130"/>
      <c r="P50" s="130"/>
      <c r="Q50" s="130"/>
      <c r="R50" s="130"/>
      <c r="S50" s="130"/>
      <c r="T50" s="122" t="str">
        <f t="shared" si="2"/>
        <v/>
      </c>
      <c r="U50" s="123" t="str">
        <f t="shared" si="3"/>
        <v/>
      </c>
      <c r="V50" s="17"/>
      <c r="W50" s="17"/>
      <c r="X50" s="17"/>
      <c r="Y50" s="17"/>
      <c r="Z50" s="17"/>
      <c r="AA50" s="17"/>
      <c r="AB50" s="17"/>
      <c r="AC50" s="17"/>
      <c r="AD50" s="17"/>
      <c r="AE50" s="17"/>
      <c r="AF50" s="17"/>
    </row>
    <row r="51" ht="15.75" customHeight="1">
      <c r="A51" s="17"/>
      <c r="B51" s="135">
        <v>37.0</v>
      </c>
      <c r="C51" s="113" t="str">
        <f>IF('INPUT DATA'!L47="","",'INPUT DATA'!L47)</f>
        <v/>
      </c>
      <c r="D51" s="114"/>
      <c r="E51" s="115"/>
      <c r="F51" s="116" t="str">
        <f>IF('INPUT DATA'!M47="","",'INPUT DATA'!M47)</f>
        <v/>
      </c>
      <c r="G51" s="115"/>
      <c r="H51" s="128" t="str">
        <f>IF('INPUT DATA'!N47="","",'INPUT DATA'!N47)</f>
        <v/>
      </c>
      <c r="I51" s="129" t="str">
        <f t="shared" si="1"/>
        <v/>
      </c>
      <c r="J51" s="130"/>
      <c r="K51" s="131"/>
      <c r="L51" s="130"/>
      <c r="M51" s="130"/>
      <c r="N51" s="130"/>
      <c r="O51" s="130"/>
      <c r="P51" s="130"/>
      <c r="Q51" s="130"/>
      <c r="R51" s="130"/>
      <c r="S51" s="130"/>
      <c r="T51" s="122" t="str">
        <f t="shared" si="2"/>
        <v/>
      </c>
      <c r="U51" s="123" t="str">
        <f t="shared" si="3"/>
        <v/>
      </c>
      <c r="V51" s="17"/>
      <c r="W51" s="17"/>
      <c r="X51" s="17"/>
      <c r="Y51" s="17"/>
      <c r="Z51" s="17"/>
      <c r="AA51" s="17"/>
      <c r="AB51" s="17"/>
      <c r="AC51" s="17"/>
      <c r="AD51" s="17"/>
      <c r="AE51" s="17"/>
      <c r="AF51" s="17"/>
    </row>
    <row r="52" ht="15.75" customHeight="1">
      <c r="A52" s="17"/>
      <c r="B52" s="135">
        <v>38.0</v>
      </c>
      <c r="C52" s="113" t="str">
        <f>IF('INPUT DATA'!L48="","",'INPUT DATA'!L48)</f>
        <v/>
      </c>
      <c r="D52" s="114"/>
      <c r="E52" s="115"/>
      <c r="F52" s="116" t="str">
        <f>IF('INPUT DATA'!M48="","",'INPUT DATA'!M48)</f>
        <v/>
      </c>
      <c r="G52" s="115"/>
      <c r="H52" s="128" t="str">
        <f>IF('INPUT DATA'!N48="","",'INPUT DATA'!N48)</f>
        <v/>
      </c>
      <c r="I52" s="129" t="str">
        <f t="shared" si="1"/>
        <v/>
      </c>
      <c r="J52" s="130"/>
      <c r="K52" s="131"/>
      <c r="L52" s="130"/>
      <c r="M52" s="130"/>
      <c r="N52" s="130"/>
      <c r="O52" s="130"/>
      <c r="P52" s="130"/>
      <c r="Q52" s="130"/>
      <c r="R52" s="130"/>
      <c r="S52" s="130"/>
      <c r="T52" s="122" t="str">
        <f t="shared" si="2"/>
        <v/>
      </c>
      <c r="U52" s="123" t="str">
        <f t="shared" si="3"/>
        <v/>
      </c>
      <c r="V52" s="17"/>
      <c r="W52" s="17"/>
      <c r="X52" s="17"/>
      <c r="Y52" s="17"/>
      <c r="Z52" s="17"/>
      <c r="AA52" s="17"/>
      <c r="AB52" s="17"/>
      <c r="AC52" s="17"/>
      <c r="AD52" s="17"/>
      <c r="AE52" s="17"/>
      <c r="AF52" s="17"/>
    </row>
    <row r="53" ht="15.75" customHeight="1">
      <c r="A53" s="17"/>
      <c r="B53" s="135">
        <v>39.0</v>
      </c>
      <c r="C53" s="113" t="str">
        <f>IF('INPUT DATA'!L49="","",'INPUT DATA'!L49)</f>
        <v/>
      </c>
      <c r="D53" s="114"/>
      <c r="E53" s="115"/>
      <c r="F53" s="116" t="str">
        <f>IF('INPUT DATA'!M49="","",'INPUT DATA'!M49)</f>
        <v/>
      </c>
      <c r="G53" s="115"/>
      <c r="H53" s="128" t="str">
        <f>IF('INPUT DATA'!N49="","",'INPUT DATA'!N49)</f>
        <v/>
      </c>
      <c r="I53" s="129" t="str">
        <f t="shared" si="1"/>
        <v/>
      </c>
      <c r="J53" s="130"/>
      <c r="K53" s="131"/>
      <c r="L53" s="130"/>
      <c r="M53" s="130"/>
      <c r="N53" s="130"/>
      <c r="O53" s="130"/>
      <c r="P53" s="130"/>
      <c r="Q53" s="130"/>
      <c r="R53" s="130"/>
      <c r="S53" s="130"/>
      <c r="T53" s="122" t="str">
        <f t="shared" si="2"/>
        <v/>
      </c>
      <c r="U53" s="123" t="str">
        <f t="shared" si="3"/>
        <v/>
      </c>
      <c r="V53" s="17"/>
      <c r="W53" s="17"/>
      <c r="X53" s="17"/>
      <c r="Y53" s="17"/>
      <c r="Z53" s="17"/>
      <c r="AA53" s="17"/>
      <c r="AB53" s="17"/>
      <c r="AC53" s="17"/>
      <c r="AD53" s="17"/>
      <c r="AE53" s="17"/>
      <c r="AF53" s="17"/>
    </row>
    <row r="54" ht="15.75" customHeight="1">
      <c r="A54" s="17"/>
      <c r="B54" s="135">
        <v>40.0</v>
      </c>
      <c r="C54" s="113" t="str">
        <f>IF('INPUT DATA'!L50="","",'INPUT DATA'!L50)</f>
        <v/>
      </c>
      <c r="D54" s="114"/>
      <c r="E54" s="115"/>
      <c r="F54" s="116" t="str">
        <f>IF('INPUT DATA'!M50="","",'INPUT DATA'!M50)</f>
        <v/>
      </c>
      <c r="G54" s="115"/>
      <c r="H54" s="128" t="str">
        <f>IF('INPUT DATA'!N50="","",'INPUT DATA'!N50)</f>
        <v/>
      </c>
      <c r="I54" s="129" t="str">
        <f t="shared" si="1"/>
        <v/>
      </c>
      <c r="J54" s="130"/>
      <c r="K54" s="131"/>
      <c r="L54" s="130"/>
      <c r="M54" s="130"/>
      <c r="N54" s="130"/>
      <c r="O54" s="130"/>
      <c r="P54" s="130"/>
      <c r="Q54" s="130"/>
      <c r="R54" s="130"/>
      <c r="S54" s="130"/>
      <c r="T54" s="122" t="str">
        <f t="shared" si="2"/>
        <v/>
      </c>
      <c r="U54" s="123" t="str">
        <f t="shared" si="3"/>
        <v/>
      </c>
      <c r="V54" s="17"/>
      <c r="W54" s="17"/>
      <c r="X54" s="17"/>
      <c r="Y54" s="17"/>
      <c r="Z54" s="17"/>
      <c r="AA54" s="17"/>
      <c r="AB54" s="17"/>
      <c r="AC54" s="17"/>
      <c r="AD54" s="17"/>
      <c r="AE54" s="17"/>
      <c r="AF54" s="17"/>
    </row>
    <row r="55" ht="15.75" customHeight="1">
      <c r="A55" s="17"/>
      <c r="B55" s="135">
        <v>41.0</v>
      </c>
      <c r="C55" s="113" t="str">
        <f>IF('INPUT DATA'!L51="","",'INPUT DATA'!L51)</f>
        <v/>
      </c>
      <c r="D55" s="114"/>
      <c r="E55" s="115"/>
      <c r="F55" s="116" t="str">
        <f>IF('INPUT DATA'!M51="","",'INPUT DATA'!M51)</f>
        <v/>
      </c>
      <c r="G55" s="115"/>
      <c r="H55" s="128" t="str">
        <f>IF('INPUT DATA'!N51="","",'INPUT DATA'!N51)</f>
        <v/>
      </c>
      <c r="I55" s="129" t="str">
        <f t="shared" si="1"/>
        <v/>
      </c>
      <c r="J55" s="130"/>
      <c r="K55" s="131"/>
      <c r="L55" s="130"/>
      <c r="M55" s="130"/>
      <c r="N55" s="130"/>
      <c r="O55" s="130"/>
      <c r="P55" s="130"/>
      <c r="Q55" s="130"/>
      <c r="R55" s="130"/>
      <c r="S55" s="130"/>
      <c r="T55" s="122" t="str">
        <f t="shared" si="2"/>
        <v/>
      </c>
      <c r="U55" s="123" t="str">
        <f t="shared" si="3"/>
        <v/>
      </c>
      <c r="V55" s="17"/>
      <c r="W55" s="17"/>
      <c r="X55" s="17"/>
      <c r="Y55" s="17"/>
      <c r="Z55" s="17"/>
      <c r="AA55" s="17"/>
      <c r="AB55" s="17"/>
      <c r="AC55" s="17"/>
      <c r="AD55" s="17"/>
      <c r="AE55" s="17"/>
      <c r="AF55" s="17"/>
    </row>
    <row r="56" ht="15.75" customHeight="1">
      <c r="A56" s="17"/>
      <c r="B56" s="135">
        <v>42.0</v>
      </c>
      <c r="C56" s="113" t="str">
        <f>IF('INPUT DATA'!L52="","",'INPUT DATA'!L52)</f>
        <v/>
      </c>
      <c r="D56" s="114"/>
      <c r="E56" s="115"/>
      <c r="F56" s="116" t="str">
        <f>IF('INPUT DATA'!M52="","",'INPUT DATA'!M52)</f>
        <v/>
      </c>
      <c r="G56" s="115"/>
      <c r="H56" s="128" t="str">
        <f>IF('INPUT DATA'!N52="","",'INPUT DATA'!N52)</f>
        <v/>
      </c>
      <c r="I56" s="129" t="str">
        <f t="shared" si="1"/>
        <v/>
      </c>
      <c r="J56" s="130"/>
      <c r="K56" s="131"/>
      <c r="L56" s="130"/>
      <c r="M56" s="130"/>
      <c r="N56" s="130"/>
      <c r="O56" s="130"/>
      <c r="P56" s="130"/>
      <c r="Q56" s="130"/>
      <c r="R56" s="130"/>
      <c r="S56" s="130"/>
      <c r="T56" s="122" t="str">
        <f t="shared" si="2"/>
        <v/>
      </c>
      <c r="U56" s="123" t="str">
        <f t="shared" si="3"/>
        <v/>
      </c>
      <c r="V56" s="17"/>
      <c r="W56" s="17"/>
      <c r="X56" s="17"/>
      <c r="Y56" s="17"/>
      <c r="Z56" s="17"/>
      <c r="AA56" s="17"/>
      <c r="AB56" s="17"/>
      <c r="AC56" s="17"/>
      <c r="AD56" s="17"/>
      <c r="AE56" s="17"/>
      <c r="AF56" s="17"/>
    </row>
    <row r="57" ht="15.75" customHeight="1">
      <c r="A57" s="17"/>
      <c r="B57" s="135">
        <v>43.0</v>
      </c>
      <c r="C57" s="113" t="str">
        <f>IF('INPUT DATA'!L53="","",'INPUT DATA'!L53)</f>
        <v/>
      </c>
      <c r="D57" s="114"/>
      <c r="E57" s="115"/>
      <c r="F57" s="116" t="str">
        <f>IF('INPUT DATA'!M53="","",'INPUT DATA'!M53)</f>
        <v/>
      </c>
      <c r="G57" s="115"/>
      <c r="H57" s="128" t="str">
        <f>IF('INPUT DATA'!N53="","",'INPUT DATA'!N53)</f>
        <v/>
      </c>
      <c r="I57" s="129" t="str">
        <f t="shared" si="1"/>
        <v/>
      </c>
      <c r="J57" s="130"/>
      <c r="K57" s="131"/>
      <c r="L57" s="130"/>
      <c r="M57" s="130"/>
      <c r="N57" s="130"/>
      <c r="O57" s="130"/>
      <c r="P57" s="130"/>
      <c r="Q57" s="130"/>
      <c r="R57" s="130"/>
      <c r="S57" s="130"/>
      <c r="T57" s="122" t="str">
        <f t="shared" si="2"/>
        <v/>
      </c>
      <c r="U57" s="123" t="str">
        <f t="shared" si="3"/>
        <v/>
      </c>
      <c r="V57" s="17"/>
      <c r="W57" s="17"/>
      <c r="X57" s="17"/>
      <c r="Y57" s="17"/>
      <c r="Z57" s="17"/>
      <c r="AA57" s="17"/>
      <c r="AB57" s="17"/>
      <c r="AC57" s="17"/>
      <c r="AD57" s="17"/>
      <c r="AE57" s="17"/>
      <c r="AF57" s="17"/>
    </row>
    <row r="58" ht="15.75" customHeight="1">
      <c r="A58" s="17"/>
      <c r="B58" s="135">
        <v>44.0</v>
      </c>
      <c r="C58" s="113" t="str">
        <f>IF('INPUT DATA'!L54="","",'INPUT DATA'!L54)</f>
        <v/>
      </c>
      <c r="D58" s="114"/>
      <c r="E58" s="115"/>
      <c r="F58" s="116" t="str">
        <f>IF('INPUT DATA'!M54="","",'INPUT DATA'!M54)</f>
        <v/>
      </c>
      <c r="G58" s="115"/>
      <c r="H58" s="128" t="str">
        <f>IF('INPUT DATA'!N54="","",'INPUT DATA'!N54)</f>
        <v/>
      </c>
      <c r="I58" s="129" t="str">
        <f t="shared" si="1"/>
        <v/>
      </c>
      <c r="J58" s="130"/>
      <c r="K58" s="131"/>
      <c r="L58" s="130"/>
      <c r="M58" s="130"/>
      <c r="N58" s="130"/>
      <c r="O58" s="130"/>
      <c r="P58" s="130"/>
      <c r="Q58" s="130"/>
      <c r="R58" s="130"/>
      <c r="S58" s="130"/>
      <c r="T58" s="122" t="str">
        <f t="shared" si="2"/>
        <v/>
      </c>
      <c r="U58" s="123" t="str">
        <f t="shared" si="3"/>
        <v/>
      </c>
      <c r="V58" s="17"/>
      <c r="W58" s="17"/>
      <c r="X58" s="17"/>
      <c r="Y58" s="17"/>
      <c r="Z58" s="17"/>
      <c r="AA58" s="17"/>
      <c r="AB58" s="17"/>
      <c r="AC58" s="17"/>
      <c r="AD58" s="17"/>
      <c r="AE58" s="17"/>
      <c r="AF58" s="17"/>
    </row>
    <row r="59" ht="15.75" customHeight="1">
      <c r="A59" s="17"/>
      <c r="B59" s="135">
        <v>45.0</v>
      </c>
      <c r="C59" s="113" t="str">
        <f>IF('INPUT DATA'!L55="","",'INPUT DATA'!L55)</f>
        <v/>
      </c>
      <c r="D59" s="114"/>
      <c r="E59" s="115"/>
      <c r="F59" s="116" t="str">
        <f>IF('INPUT DATA'!M55="","",'INPUT DATA'!M55)</f>
        <v/>
      </c>
      <c r="G59" s="115"/>
      <c r="H59" s="128" t="str">
        <f>IF('INPUT DATA'!N55="","",'INPUT DATA'!N55)</f>
        <v/>
      </c>
      <c r="I59" s="129" t="str">
        <f t="shared" si="1"/>
        <v/>
      </c>
      <c r="J59" s="130"/>
      <c r="K59" s="136"/>
      <c r="L59" s="137"/>
      <c r="M59" s="137"/>
      <c r="N59" s="137"/>
      <c r="O59" s="137"/>
      <c r="P59" s="137"/>
      <c r="Q59" s="137"/>
      <c r="R59" s="137"/>
      <c r="S59" s="137"/>
      <c r="T59" s="122" t="str">
        <f t="shared" si="2"/>
        <v/>
      </c>
      <c r="U59" s="123" t="str">
        <f t="shared" si="3"/>
        <v/>
      </c>
      <c r="V59" s="17"/>
      <c r="W59" s="17"/>
      <c r="X59" s="17"/>
      <c r="Y59" s="17"/>
      <c r="Z59" s="17"/>
      <c r="AA59" s="17"/>
      <c r="AB59" s="17"/>
      <c r="AC59" s="17"/>
      <c r="AD59" s="17"/>
      <c r="AE59" s="17"/>
      <c r="AF59" s="17"/>
    </row>
    <row r="60" ht="15.75" customHeight="1">
      <c r="A60" s="17"/>
      <c r="B60" s="135">
        <v>46.0</v>
      </c>
      <c r="C60" s="113" t="str">
        <f>IF('INPUT DATA'!L56="","",'INPUT DATA'!L56)</f>
        <v/>
      </c>
      <c r="D60" s="114"/>
      <c r="E60" s="115"/>
      <c r="F60" s="116" t="str">
        <f>IF('INPUT DATA'!M56="","",'INPUT DATA'!M56)</f>
        <v/>
      </c>
      <c r="G60" s="115"/>
      <c r="H60" s="128" t="str">
        <f>IF('INPUT DATA'!N56="","",'INPUT DATA'!N56)</f>
        <v/>
      </c>
      <c r="I60" s="129" t="str">
        <f t="shared" si="1"/>
        <v/>
      </c>
      <c r="J60" s="130"/>
      <c r="K60" s="131"/>
      <c r="L60" s="130"/>
      <c r="M60" s="130"/>
      <c r="N60" s="130"/>
      <c r="O60" s="130"/>
      <c r="P60" s="130"/>
      <c r="Q60" s="130"/>
      <c r="R60" s="130"/>
      <c r="S60" s="130"/>
      <c r="T60" s="122" t="str">
        <f t="shared" si="2"/>
        <v/>
      </c>
      <c r="U60" s="123" t="str">
        <f t="shared" si="3"/>
        <v/>
      </c>
      <c r="V60" s="17"/>
      <c r="W60" s="17"/>
      <c r="X60" s="17"/>
      <c r="Y60" s="17"/>
      <c r="Z60" s="17"/>
      <c r="AA60" s="17"/>
      <c r="AB60" s="17"/>
      <c r="AC60" s="17"/>
      <c r="AD60" s="17"/>
      <c r="AE60" s="17"/>
      <c r="AF60" s="17"/>
    </row>
    <row r="61" ht="15.75" customHeight="1">
      <c r="A61" s="17"/>
      <c r="B61" s="135">
        <v>47.0</v>
      </c>
      <c r="C61" s="113" t="str">
        <f>IF('INPUT DATA'!L57="","",'INPUT DATA'!L57)</f>
        <v/>
      </c>
      <c r="D61" s="114"/>
      <c r="E61" s="115"/>
      <c r="F61" s="116" t="str">
        <f>IF('INPUT DATA'!M57="","",'INPUT DATA'!M57)</f>
        <v/>
      </c>
      <c r="G61" s="115"/>
      <c r="H61" s="128" t="str">
        <f>IF('INPUT DATA'!N57="","",'INPUT DATA'!N57)</f>
        <v/>
      </c>
      <c r="I61" s="129" t="str">
        <f t="shared" si="1"/>
        <v/>
      </c>
      <c r="J61" s="130"/>
      <c r="K61" s="131"/>
      <c r="L61" s="130"/>
      <c r="M61" s="130"/>
      <c r="N61" s="130"/>
      <c r="O61" s="130"/>
      <c r="P61" s="130"/>
      <c r="Q61" s="130"/>
      <c r="R61" s="130"/>
      <c r="S61" s="130"/>
      <c r="T61" s="122" t="str">
        <f t="shared" si="2"/>
        <v/>
      </c>
      <c r="U61" s="123" t="str">
        <f t="shared" si="3"/>
        <v/>
      </c>
      <c r="V61" s="17"/>
      <c r="W61" s="17"/>
      <c r="X61" s="17"/>
      <c r="Y61" s="17"/>
      <c r="Z61" s="17"/>
      <c r="AA61" s="17"/>
      <c r="AB61" s="17"/>
      <c r="AC61" s="17"/>
      <c r="AD61" s="17"/>
      <c r="AE61" s="17"/>
      <c r="AF61" s="17"/>
    </row>
    <row r="62" ht="15.75" customHeight="1">
      <c r="A62" s="17"/>
      <c r="B62" s="135">
        <v>48.0</v>
      </c>
      <c r="C62" s="113" t="str">
        <f>IF('INPUT DATA'!L58="","",'INPUT DATA'!L58)</f>
        <v/>
      </c>
      <c r="D62" s="114"/>
      <c r="E62" s="115"/>
      <c r="F62" s="116" t="str">
        <f>IF('INPUT DATA'!M58="","",'INPUT DATA'!M58)</f>
        <v/>
      </c>
      <c r="G62" s="115"/>
      <c r="H62" s="128" t="str">
        <f>IF('INPUT DATA'!N58="","",'INPUT DATA'!N58)</f>
        <v/>
      </c>
      <c r="I62" s="129" t="str">
        <f t="shared" si="1"/>
        <v/>
      </c>
      <c r="J62" s="130"/>
      <c r="K62" s="131"/>
      <c r="L62" s="130"/>
      <c r="M62" s="130"/>
      <c r="N62" s="130"/>
      <c r="O62" s="130"/>
      <c r="P62" s="130"/>
      <c r="Q62" s="130"/>
      <c r="R62" s="130"/>
      <c r="S62" s="130"/>
      <c r="T62" s="122" t="str">
        <f t="shared" si="2"/>
        <v/>
      </c>
      <c r="U62" s="123" t="str">
        <f t="shared" si="3"/>
        <v/>
      </c>
      <c r="V62" s="17"/>
      <c r="W62" s="17"/>
      <c r="X62" s="17"/>
      <c r="Y62" s="17"/>
      <c r="Z62" s="17"/>
      <c r="AA62" s="17"/>
      <c r="AB62" s="17"/>
      <c r="AC62" s="17"/>
      <c r="AD62" s="17"/>
      <c r="AE62" s="17"/>
      <c r="AF62" s="17"/>
    </row>
    <row r="63" ht="15.75" customHeight="1">
      <c r="A63" s="17"/>
      <c r="B63" s="135">
        <v>49.0</v>
      </c>
      <c r="C63" s="113" t="str">
        <f>IF('INPUT DATA'!L59="","",'INPUT DATA'!L59)</f>
        <v/>
      </c>
      <c r="D63" s="114"/>
      <c r="E63" s="115"/>
      <c r="F63" s="116" t="str">
        <f>IF('INPUT DATA'!M59="","",'INPUT DATA'!M59)</f>
        <v/>
      </c>
      <c r="G63" s="115"/>
      <c r="H63" s="128" t="str">
        <f>IF('INPUT DATA'!N59="","",'INPUT DATA'!N59)</f>
        <v/>
      </c>
      <c r="I63" s="129" t="str">
        <f t="shared" si="1"/>
        <v/>
      </c>
      <c r="J63" s="130"/>
      <c r="K63" s="131"/>
      <c r="L63" s="130"/>
      <c r="M63" s="130"/>
      <c r="N63" s="130"/>
      <c r="O63" s="130"/>
      <c r="P63" s="130"/>
      <c r="Q63" s="130"/>
      <c r="R63" s="130"/>
      <c r="S63" s="130"/>
      <c r="T63" s="122" t="str">
        <f t="shared" si="2"/>
        <v/>
      </c>
      <c r="U63" s="123" t="str">
        <f t="shared" si="3"/>
        <v/>
      </c>
      <c r="V63" s="17"/>
      <c r="W63" s="17"/>
      <c r="X63" s="17"/>
      <c r="Y63" s="17"/>
      <c r="Z63" s="17"/>
      <c r="AA63" s="17"/>
      <c r="AB63" s="17"/>
      <c r="AC63" s="17"/>
      <c r="AD63" s="17"/>
      <c r="AE63" s="17"/>
      <c r="AF63" s="17"/>
    </row>
    <row r="64" ht="15.75" customHeight="1">
      <c r="A64" s="17"/>
      <c r="B64" s="138">
        <v>50.0</v>
      </c>
      <c r="C64" s="154" t="str">
        <f>IF('INPUT DATA'!L60="","",'INPUT DATA'!L60)</f>
        <v/>
      </c>
      <c r="D64" s="155"/>
      <c r="E64" s="156"/>
      <c r="F64" s="161" t="str">
        <f>IF('INPUT DATA'!M60="","",'INPUT DATA'!M60)</f>
        <v/>
      </c>
      <c r="G64" s="156"/>
      <c r="H64" s="164" t="str">
        <f>IF('INPUT DATA'!N60="","",'INPUT DATA'!N60)</f>
        <v/>
      </c>
      <c r="I64" s="129" t="str">
        <f t="shared" si="1"/>
        <v/>
      </c>
      <c r="J64" s="146"/>
      <c r="K64" s="145"/>
      <c r="L64" s="146"/>
      <c r="M64" s="146"/>
      <c r="N64" s="146"/>
      <c r="O64" s="146"/>
      <c r="P64" s="146"/>
      <c r="Q64" s="146"/>
      <c r="R64" s="146"/>
      <c r="S64" s="146"/>
      <c r="T64" s="122" t="str">
        <f t="shared" si="2"/>
        <v/>
      </c>
      <c r="U64" s="123" t="str">
        <f t="shared" si="3"/>
        <v/>
      </c>
      <c r="V64" s="17"/>
      <c r="W64" s="17"/>
      <c r="X64" s="17"/>
      <c r="Y64" s="17"/>
      <c r="Z64" s="17"/>
      <c r="AA64" s="17"/>
      <c r="AB64" s="17"/>
      <c r="AC64" s="17"/>
      <c r="AD64" s="17"/>
      <c r="AE64" s="17"/>
      <c r="AF64" s="17"/>
    </row>
    <row r="65" ht="15.75" customHeight="1">
      <c r="A65" s="17"/>
      <c r="B65" s="147" t="s">
        <v>12</v>
      </c>
      <c r="C65" s="148"/>
      <c r="D65" s="148"/>
      <c r="E65" s="148"/>
      <c r="F65" s="149"/>
      <c r="G65" s="149"/>
      <c r="H65" s="148"/>
      <c r="I65" s="150"/>
      <c r="J65" s="150"/>
      <c r="K65" s="150"/>
      <c r="L65" s="150"/>
      <c r="M65" s="150"/>
      <c r="N65" s="150"/>
      <c r="O65" s="150"/>
      <c r="P65" s="150"/>
      <c r="Q65" s="150"/>
      <c r="R65" s="150"/>
      <c r="S65" s="150"/>
      <c r="T65" s="152"/>
      <c r="U65" s="153"/>
      <c r="V65" s="17"/>
      <c r="W65" s="17"/>
      <c r="X65" s="17"/>
      <c r="Y65" s="17"/>
      <c r="Z65" s="17"/>
      <c r="AA65" s="17"/>
      <c r="AB65" s="17"/>
      <c r="AC65" s="17"/>
      <c r="AD65" s="17"/>
      <c r="AE65" s="17"/>
      <c r="AF65" s="17"/>
    </row>
    <row r="66" ht="15.75" customHeight="1">
      <c r="A66" s="17"/>
      <c r="B66" s="112">
        <v>1.0</v>
      </c>
      <c r="C66" s="167" t="str">
        <f>IF('INPUT DATA'!Q11="","",'INPUT DATA'!Q11)</f>
        <v/>
      </c>
      <c r="D66" s="168"/>
      <c r="E66" s="169"/>
      <c r="F66" s="162" t="str">
        <f>IF('INPUT DATA'!T11="","",'INPUT DATA'!T11)</f>
        <v/>
      </c>
      <c r="G66" s="163"/>
      <c r="H66" s="171" t="str">
        <f>IF('INPUT DATA'!S11="","",'INPUT DATA'!S11)</f>
        <v/>
      </c>
      <c r="I66" s="118" t="str">
        <f t="shared" ref="I66:I115" si="4">IF(H66="","",DATEDIF(H66,TODAY(),"Y"))</f>
        <v/>
      </c>
      <c r="J66" s="119"/>
      <c r="K66" s="121"/>
      <c r="L66" s="119"/>
      <c r="M66" s="119"/>
      <c r="N66" s="119"/>
      <c r="O66" s="119"/>
      <c r="P66" s="166"/>
      <c r="Q66" s="166"/>
      <c r="R66" s="166"/>
      <c r="S66" s="166"/>
      <c r="T66" s="175" t="str">
        <f t="shared" ref="T66:T115" si="5">IF(COUNT(K66:S66)=0,"",ROUND((K66+L66+M66+N66+O66+S66)/6,0))</f>
        <v/>
      </c>
      <c r="U66" s="123" t="str">
        <f t="shared" ref="U66:U115" si="6">IF(T66="","",_xlfn.RANK.AVG(T66,$T$15:$T$115))</f>
        <v/>
      </c>
      <c r="V66" s="17"/>
      <c r="W66" s="17"/>
      <c r="X66" s="17"/>
      <c r="Y66" s="17"/>
      <c r="Z66" s="17"/>
      <c r="AA66" s="17"/>
      <c r="AB66" s="17"/>
      <c r="AC66" s="17"/>
      <c r="AD66" s="17"/>
      <c r="AE66" s="17"/>
      <c r="AF66" s="17"/>
    </row>
    <row r="67" ht="15.75" customHeight="1">
      <c r="A67" s="17"/>
      <c r="B67" s="125">
        <v>2.0</v>
      </c>
      <c r="C67" s="170" t="str">
        <f>IF('INPUT DATA'!Q12="","",'INPUT DATA'!Q12)</f>
        <v/>
      </c>
      <c r="D67" s="172"/>
      <c r="E67" s="163"/>
      <c r="F67" s="162" t="str">
        <f>IF('INPUT DATA'!T12="","",'INPUT DATA'!T12)</f>
        <v/>
      </c>
      <c r="G67" s="163"/>
      <c r="H67" s="176" t="str">
        <f>IF('INPUT DATA'!S12="","",'INPUT DATA'!S12)</f>
        <v/>
      </c>
      <c r="I67" s="129" t="str">
        <f t="shared" si="4"/>
        <v/>
      </c>
      <c r="J67" s="130"/>
      <c r="K67" s="131"/>
      <c r="L67" s="130"/>
      <c r="M67" s="130"/>
      <c r="N67" s="130"/>
      <c r="O67" s="130"/>
      <c r="P67" s="174"/>
      <c r="Q67" s="174"/>
      <c r="R67" s="174"/>
      <c r="S67" s="174"/>
      <c r="T67" s="122" t="str">
        <f t="shared" si="5"/>
        <v/>
      </c>
      <c r="U67" s="123" t="str">
        <f t="shared" si="6"/>
        <v/>
      </c>
      <c r="V67" s="17"/>
      <c r="W67" s="17"/>
      <c r="X67" s="17"/>
      <c r="Y67" s="17"/>
      <c r="Z67" s="17"/>
      <c r="AA67" s="17"/>
      <c r="AB67" s="17"/>
      <c r="AC67" s="17"/>
      <c r="AD67" s="17"/>
      <c r="AE67" s="17"/>
      <c r="AF67" s="17"/>
    </row>
    <row r="68" ht="15.75" customHeight="1">
      <c r="A68" s="17"/>
      <c r="B68" s="125">
        <v>3.0</v>
      </c>
      <c r="C68" s="170" t="str">
        <f>IF('INPUT DATA'!Q13="","",'INPUT DATA'!Q13)</f>
        <v/>
      </c>
      <c r="D68" s="172"/>
      <c r="E68" s="163"/>
      <c r="F68" s="162" t="str">
        <f>IF('INPUT DATA'!T13="","",'INPUT DATA'!T13)</f>
        <v/>
      </c>
      <c r="G68" s="163"/>
      <c r="H68" s="176" t="str">
        <f>IF('INPUT DATA'!S13="","",'INPUT DATA'!S13)</f>
        <v/>
      </c>
      <c r="I68" s="129" t="str">
        <f t="shared" si="4"/>
        <v/>
      </c>
      <c r="J68" s="130"/>
      <c r="K68" s="131"/>
      <c r="L68" s="130"/>
      <c r="M68" s="130"/>
      <c r="N68" s="130"/>
      <c r="O68" s="130"/>
      <c r="P68" s="174"/>
      <c r="Q68" s="174"/>
      <c r="R68" s="174"/>
      <c r="S68" s="174"/>
      <c r="T68" s="122" t="str">
        <f t="shared" si="5"/>
        <v/>
      </c>
      <c r="U68" s="123" t="str">
        <f t="shared" si="6"/>
        <v/>
      </c>
      <c r="V68" s="17"/>
      <c r="W68" s="17"/>
      <c r="X68" s="17"/>
      <c r="Y68" s="17"/>
      <c r="Z68" s="17"/>
      <c r="AA68" s="17"/>
      <c r="AB68" s="17"/>
      <c r="AC68" s="17"/>
      <c r="AD68" s="17"/>
      <c r="AE68" s="17"/>
      <c r="AF68" s="17"/>
    </row>
    <row r="69" ht="15.75" customHeight="1">
      <c r="A69" s="17"/>
      <c r="B69" s="125">
        <v>4.0</v>
      </c>
      <c r="C69" s="170" t="str">
        <f>IF('INPUT DATA'!Q14="","",'INPUT DATA'!Q14)</f>
        <v/>
      </c>
      <c r="D69" s="172"/>
      <c r="E69" s="163"/>
      <c r="F69" s="162" t="str">
        <f>IF('INPUT DATA'!T14="","",'INPUT DATA'!T14)</f>
        <v/>
      </c>
      <c r="G69" s="163"/>
      <c r="H69" s="176" t="str">
        <f>IF('INPUT DATA'!S14="","",'INPUT DATA'!S14)</f>
        <v/>
      </c>
      <c r="I69" s="129" t="str">
        <f t="shared" si="4"/>
        <v/>
      </c>
      <c r="J69" s="130"/>
      <c r="K69" s="131"/>
      <c r="L69" s="130"/>
      <c r="M69" s="130"/>
      <c r="N69" s="130"/>
      <c r="O69" s="130"/>
      <c r="P69" s="174"/>
      <c r="Q69" s="174"/>
      <c r="R69" s="174"/>
      <c r="S69" s="174"/>
      <c r="T69" s="122" t="str">
        <f t="shared" si="5"/>
        <v/>
      </c>
      <c r="U69" s="123" t="str">
        <f t="shared" si="6"/>
        <v/>
      </c>
      <c r="V69" s="17"/>
      <c r="W69" s="17"/>
      <c r="X69" s="17"/>
      <c r="Y69" s="17"/>
      <c r="Z69" s="17"/>
      <c r="AA69" s="17"/>
      <c r="AB69" s="17"/>
      <c r="AC69" s="17"/>
      <c r="AD69" s="17"/>
      <c r="AE69" s="17"/>
      <c r="AF69" s="17"/>
    </row>
    <row r="70" ht="15.75" customHeight="1">
      <c r="A70" s="17"/>
      <c r="B70" s="125">
        <v>5.0</v>
      </c>
      <c r="C70" s="170" t="str">
        <f>IF('INPUT DATA'!Q15="","",'INPUT DATA'!Q15)</f>
        <v/>
      </c>
      <c r="D70" s="172"/>
      <c r="E70" s="163"/>
      <c r="F70" s="162" t="str">
        <f>IF('INPUT DATA'!T15="","",'INPUT DATA'!T15)</f>
        <v/>
      </c>
      <c r="G70" s="163"/>
      <c r="H70" s="176" t="str">
        <f>IF('INPUT DATA'!S15="","",'INPUT DATA'!S15)</f>
        <v/>
      </c>
      <c r="I70" s="129" t="str">
        <f t="shared" si="4"/>
        <v/>
      </c>
      <c r="J70" s="130"/>
      <c r="K70" s="131"/>
      <c r="L70" s="130"/>
      <c r="M70" s="130"/>
      <c r="N70" s="130"/>
      <c r="O70" s="130"/>
      <c r="P70" s="174"/>
      <c r="Q70" s="174"/>
      <c r="R70" s="174"/>
      <c r="S70" s="174"/>
      <c r="T70" s="122" t="str">
        <f t="shared" si="5"/>
        <v/>
      </c>
      <c r="U70" s="123" t="str">
        <f t="shared" si="6"/>
        <v/>
      </c>
      <c r="V70" s="17"/>
      <c r="W70" s="17"/>
      <c r="X70" s="17"/>
      <c r="Y70" s="17"/>
      <c r="Z70" s="17"/>
      <c r="AA70" s="17"/>
      <c r="AB70" s="17"/>
      <c r="AC70" s="17"/>
      <c r="AD70" s="17"/>
      <c r="AE70" s="17"/>
      <c r="AF70" s="17"/>
    </row>
    <row r="71" ht="15.75" customHeight="1">
      <c r="A71" s="17"/>
      <c r="B71" s="125">
        <v>6.0</v>
      </c>
      <c r="C71" s="170" t="str">
        <f>IF('INPUT DATA'!Q16="","",'INPUT DATA'!Q16)</f>
        <v/>
      </c>
      <c r="D71" s="172"/>
      <c r="E71" s="163"/>
      <c r="F71" s="162" t="str">
        <f>IF('INPUT DATA'!T16="","",'INPUT DATA'!T16)</f>
        <v/>
      </c>
      <c r="G71" s="163"/>
      <c r="H71" s="176" t="str">
        <f>IF('INPUT DATA'!S16="","",'INPUT DATA'!S16)</f>
        <v/>
      </c>
      <c r="I71" s="129" t="str">
        <f t="shared" si="4"/>
        <v/>
      </c>
      <c r="J71" s="130"/>
      <c r="K71" s="131"/>
      <c r="L71" s="130"/>
      <c r="M71" s="130"/>
      <c r="N71" s="130"/>
      <c r="O71" s="130"/>
      <c r="P71" s="174"/>
      <c r="Q71" s="174"/>
      <c r="R71" s="174"/>
      <c r="S71" s="174"/>
      <c r="T71" s="122" t="str">
        <f t="shared" si="5"/>
        <v/>
      </c>
      <c r="U71" s="123" t="str">
        <f t="shared" si="6"/>
        <v/>
      </c>
      <c r="V71" s="17"/>
      <c r="W71" s="17"/>
      <c r="X71" s="17"/>
      <c r="Y71" s="17"/>
      <c r="Z71" s="17"/>
      <c r="AA71" s="17"/>
      <c r="AB71" s="17"/>
      <c r="AC71" s="17"/>
      <c r="AD71" s="17"/>
      <c r="AE71" s="17"/>
      <c r="AF71" s="17"/>
    </row>
    <row r="72" ht="15.75" customHeight="1">
      <c r="A72" s="17"/>
      <c r="B72" s="125">
        <v>7.0</v>
      </c>
      <c r="C72" s="170" t="str">
        <f>IF('INPUT DATA'!Q17="","",'INPUT DATA'!Q17)</f>
        <v/>
      </c>
      <c r="D72" s="172"/>
      <c r="E72" s="163"/>
      <c r="F72" s="162" t="str">
        <f>IF('INPUT DATA'!T17="","",'INPUT DATA'!T17)</f>
        <v/>
      </c>
      <c r="G72" s="163"/>
      <c r="H72" s="176" t="str">
        <f>IF('INPUT DATA'!S17="","",'INPUT DATA'!S17)</f>
        <v/>
      </c>
      <c r="I72" s="129" t="str">
        <f t="shared" si="4"/>
        <v/>
      </c>
      <c r="J72" s="130"/>
      <c r="K72" s="131"/>
      <c r="L72" s="130"/>
      <c r="M72" s="130"/>
      <c r="N72" s="130"/>
      <c r="O72" s="130"/>
      <c r="P72" s="174"/>
      <c r="Q72" s="174"/>
      <c r="R72" s="174"/>
      <c r="S72" s="174"/>
      <c r="T72" s="122" t="str">
        <f t="shared" si="5"/>
        <v/>
      </c>
      <c r="U72" s="123" t="str">
        <f t="shared" si="6"/>
        <v/>
      </c>
      <c r="V72" s="17"/>
      <c r="W72" s="17"/>
      <c r="X72" s="17"/>
      <c r="Y72" s="17"/>
      <c r="Z72" s="17"/>
      <c r="AA72" s="17"/>
      <c r="AB72" s="17"/>
      <c r="AC72" s="17"/>
      <c r="AD72" s="17"/>
      <c r="AE72" s="17"/>
      <c r="AF72" s="17"/>
    </row>
    <row r="73" ht="15.75" customHeight="1">
      <c r="A73" s="17"/>
      <c r="B73" s="125">
        <v>8.0</v>
      </c>
      <c r="C73" s="170" t="str">
        <f>IF('INPUT DATA'!Q18="","",'INPUT DATA'!Q18)</f>
        <v/>
      </c>
      <c r="D73" s="172"/>
      <c r="E73" s="163"/>
      <c r="F73" s="162" t="str">
        <f>IF('INPUT DATA'!T18="","",'INPUT DATA'!T18)</f>
        <v/>
      </c>
      <c r="G73" s="163"/>
      <c r="H73" s="176" t="str">
        <f>IF('INPUT DATA'!S18="","",'INPUT DATA'!S18)</f>
        <v/>
      </c>
      <c r="I73" s="129" t="str">
        <f t="shared" si="4"/>
        <v/>
      </c>
      <c r="J73" s="130"/>
      <c r="K73" s="131"/>
      <c r="L73" s="130"/>
      <c r="M73" s="130"/>
      <c r="N73" s="130"/>
      <c r="O73" s="130"/>
      <c r="P73" s="174"/>
      <c r="Q73" s="174"/>
      <c r="R73" s="174"/>
      <c r="S73" s="174"/>
      <c r="T73" s="122" t="str">
        <f t="shared" si="5"/>
        <v/>
      </c>
      <c r="U73" s="123" t="str">
        <f t="shared" si="6"/>
        <v/>
      </c>
      <c r="V73" s="17"/>
      <c r="W73" s="17"/>
      <c r="X73" s="17"/>
      <c r="Y73" s="17"/>
      <c r="Z73" s="17"/>
      <c r="AA73" s="17"/>
      <c r="AB73" s="17"/>
      <c r="AC73" s="17"/>
      <c r="AD73" s="17"/>
      <c r="AE73" s="17"/>
      <c r="AF73" s="17"/>
    </row>
    <row r="74" ht="15.75" customHeight="1">
      <c r="A74" s="17"/>
      <c r="B74" s="125">
        <v>9.0</v>
      </c>
      <c r="C74" s="170" t="str">
        <f>IF('INPUT DATA'!Q19="","",'INPUT DATA'!Q19)</f>
        <v/>
      </c>
      <c r="D74" s="172"/>
      <c r="E74" s="163"/>
      <c r="F74" s="162" t="str">
        <f>IF('INPUT DATA'!T19="","",'INPUT DATA'!T19)</f>
        <v/>
      </c>
      <c r="G74" s="163"/>
      <c r="H74" s="176" t="str">
        <f>IF('INPUT DATA'!S19="","",'INPUT DATA'!S19)</f>
        <v/>
      </c>
      <c r="I74" s="129" t="str">
        <f t="shared" si="4"/>
        <v/>
      </c>
      <c r="J74" s="130"/>
      <c r="K74" s="131"/>
      <c r="L74" s="130"/>
      <c r="M74" s="130"/>
      <c r="N74" s="130"/>
      <c r="O74" s="130"/>
      <c r="P74" s="174"/>
      <c r="Q74" s="174"/>
      <c r="R74" s="174"/>
      <c r="S74" s="174"/>
      <c r="T74" s="122" t="str">
        <f t="shared" si="5"/>
        <v/>
      </c>
      <c r="U74" s="123" t="str">
        <f t="shared" si="6"/>
        <v/>
      </c>
      <c r="V74" s="17"/>
      <c r="W74" s="17"/>
      <c r="X74" s="17"/>
      <c r="Y74" s="17"/>
      <c r="Z74" s="17"/>
      <c r="AA74" s="17"/>
      <c r="AB74" s="17"/>
      <c r="AC74" s="17"/>
      <c r="AD74" s="17"/>
      <c r="AE74" s="17"/>
      <c r="AF74" s="17"/>
    </row>
    <row r="75" ht="15.75" customHeight="1">
      <c r="A75" s="17"/>
      <c r="B75" s="125">
        <v>10.0</v>
      </c>
      <c r="C75" s="170" t="str">
        <f>IF('INPUT DATA'!Q20="","",'INPUT DATA'!Q20)</f>
        <v/>
      </c>
      <c r="D75" s="172"/>
      <c r="E75" s="163"/>
      <c r="F75" s="162" t="str">
        <f>IF('INPUT DATA'!T20="","",'INPUT DATA'!T20)</f>
        <v/>
      </c>
      <c r="G75" s="163"/>
      <c r="H75" s="176" t="str">
        <f>IF('INPUT DATA'!S20="","",'INPUT DATA'!S20)</f>
        <v/>
      </c>
      <c r="I75" s="129" t="str">
        <f t="shared" si="4"/>
        <v/>
      </c>
      <c r="J75" s="130"/>
      <c r="K75" s="131"/>
      <c r="L75" s="130"/>
      <c r="M75" s="130"/>
      <c r="N75" s="130"/>
      <c r="O75" s="130"/>
      <c r="P75" s="174"/>
      <c r="Q75" s="174"/>
      <c r="R75" s="174"/>
      <c r="S75" s="174"/>
      <c r="T75" s="122" t="str">
        <f t="shared" si="5"/>
        <v/>
      </c>
      <c r="U75" s="123" t="str">
        <f t="shared" si="6"/>
        <v/>
      </c>
      <c r="V75" s="17"/>
      <c r="W75" s="17"/>
      <c r="X75" s="17"/>
      <c r="Y75" s="17"/>
      <c r="Z75" s="17"/>
      <c r="AA75" s="17"/>
      <c r="AB75" s="17"/>
      <c r="AC75" s="17"/>
      <c r="AD75" s="17"/>
      <c r="AE75" s="17"/>
      <c r="AF75" s="17"/>
    </row>
    <row r="76" ht="15.75" customHeight="1">
      <c r="A76" s="17"/>
      <c r="B76" s="125">
        <v>11.0</v>
      </c>
      <c r="C76" s="170" t="str">
        <f>IF('INPUT DATA'!Q21="","",'INPUT DATA'!Q21)</f>
        <v/>
      </c>
      <c r="D76" s="172"/>
      <c r="E76" s="163"/>
      <c r="F76" s="162" t="str">
        <f>IF('INPUT DATA'!T21="","",'INPUT DATA'!T21)</f>
        <v/>
      </c>
      <c r="G76" s="163"/>
      <c r="H76" s="176" t="str">
        <f>IF('INPUT DATA'!S21="","",'INPUT DATA'!S21)</f>
        <v/>
      </c>
      <c r="I76" s="129" t="str">
        <f t="shared" si="4"/>
        <v/>
      </c>
      <c r="J76" s="130"/>
      <c r="K76" s="131"/>
      <c r="L76" s="130"/>
      <c r="M76" s="130"/>
      <c r="N76" s="130"/>
      <c r="O76" s="130"/>
      <c r="P76" s="174"/>
      <c r="Q76" s="174"/>
      <c r="R76" s="174"/>
      <c r="S76" s="174"/>
      <c r="T76" s="122" t="str">
        <f t="shared" si="5"/>
        <v/>
      </c>
      <c r="U76" s="123" t="str">
        <f t="shared" si="6"/>
        <v/>
      </c>
      <c r="V76" s="17"/>
      <c r="W76" s="17"/>
      <c r="X76" s="17"/>
      <c r="Y76" s="17"/>
      <c r="Z76" s="17"/>
      <c r="AA76" s="17"/>
      <c r="AB76" s="17"/>
      <c r="AC76" s="17"/>
      <c r="AD76" s="17"/>
      <c r="AE76" s="17"/>
      <c r="AF76" s="17"/>
    </row>
    <row r="77" ht="15.75" customHeight="1">
      <c r="A77" s="17"/>
      <c r="B77" s="125">
        <v>12.0</v>
      </c>
      <c r="C77" s="170" t="str">
        <f>IF('INPUT DATA'!Q22="","",'INPUT DATA'!Q22)</f>
        <v/>
      </c>
      <c r="D77" s="172"/>
      <c r="E77" s="163"/>
      <c r="F77" s="162" t="str">
        <f>IF('INPUT DATA'!T22="","",'INPUT DATA'!T22)</f>
        <v/>
      </c>
      <c r="G77" s="163"/>
      <c r="H77" s="176" t="str">
        <f>IF('INPUT DATA'!S22="","",'INPUT DATA'!S22)</f>
        <v/>
      </c>
      <c r="I77" s="129" t="str">
        <f t="shared" si="4"/>
        <v/>
      </c>
      <c r="J77" s="130"/>
      <c r="K77" s="131"/>
      <c r="L77" s="130"/>
      <c r="M77" s="130"/>
      <c r="N77" s="130"/>
      <c r="O77" s="130"/>
      <c r="P77" s="174"/>
      <c r="Q77" s="174"/>
      <c r="R77" s="174"/>
      <c r="S77" s="174"/>
      <c r="T77" s="122" t="str">
        <f t="shared" si="5"/>
        <v/>
      </c>
      <c r="U77" s="123" t="str">
        <f t="shared" si="6"/>
        <v/>
      </c>
      <c r="V77" s="17"/>
      <c r="W77" s="17"/>
      <c r="X77" s="17"/>
      <c r="Y77" s="17"/>
      <c r="Z77" s="17"/>
      <c r="AA77" s="17"/>
      <c r="AB77" s="17"/>
      <c r="AC77" s="17"/>
      <c r="AD77" s="17"/>
      <c r="AE77" s="17"/>
      <c r="AF77" s="17"/>
    </row>
    <row r="78" ht="15.75" customHeight="1">
      <c r="A78" s="17"/>
      <c r="B78" s="125">
        <v>13.0</v>
      </c>
      <c r="C78" s="170" t="str">
        <f>IF('INPUT DATA'!Q23="","",'INPUT DATA'!Q23)</f>
        <v/>
      </c>
      <c r="D78" s="172"/>
      <c r="E78" s="163"/>
      <c r="F78" s="162" t="str">
        <f>IF('INPUT DATA'!T23="","",'INPUT DATA'!T23)</f>
        <v/>
      </c>
      <c r="G78" s="163"/>
      <c r="H78" s="176" t="str">
        <f>IF('INPUT DATA'!S23="","",'INPUT DATA'!S23)</f>
        <v/>
      </c>
      <c r="I78" s="129" t="str">
        <f t="shared" si="4"/>
        <v/>
      </c>
      <c r="J78" s="130"/>
      <c r="K78" s="131"/>
      <c r="L78" s="130"/>
      <c r="M78" s="130"/>
      <c r="N78" s="130"/>
      <c r="O78" s="130"/>
      <c r="P78" s="174"/>
      <c r="Q78" s="174"/>
      <c r="R78" s="174"/>
      <c r="S78" s="174"/>
      <c r="T78" s="122" t="str">
        <f t="shared" si="5"/>
        <v/>
      </c>
      <c r="U78" s="123" t="str">
        <f t="shared" si="6"/>
        <v/>
      </c>
      <c r="V78" s="17"/>
      <c r="W78" s="17"/>
      <c r="X78" s="17"/>
      <c r="Y78" s="17"/>
      <c r="Z78" s="17"/>
      <c r="AA78" s="17"/>
      <c r="AB78" s="17"/>
      <c r="AC78" s="17"/>
      <c r="AD78" s="17"/>
      <c r="AE78" s="17"/>
      <c r="AF78" s="17"/>
    </row>
    <row r="79" ht="15.75" customHeight="1">
      <c r="A79" s="17"/>
      <c r="B79" s="125">
        <v>14.0</v>
      </c>
      <c r="C79" s="170" t="str">
        <f>IF('INPUT DATA'!Q24="","",'INPUT DATA'!Q24)</f>
        <v/>
      </c>
      <c r="D79" s="172"/>
      <c r="E79" s="163"/>
      <c r="F79" s="162" t="str">
        <f>IF('INPUT DATA'!T24="","",'INPUT DATA'!T24)</f>
        <v/>
      </c>
      <c r="G79" s="163"/>
      <c r="H79" s="176" t="str">
        <f>IF('INPUT DATA'!S24="","",'INPUT DATA'!S24)</f>
        <v/>
      </c>
      <c r="I79" s="129" t="str">
        <f t="shared" si="4"/>
        <v/>
      </c>
      <c r="J79" s="130"/>
      <c r="K79" s="131"/>
      <c r="L79" s="130"/>
      <c r="M79" s="130"/>
      <c r="N79" s="130"/>
      <c r="O79" s="130"/>
      <c r="P79" s="174"/>
      <c r="Q79" s="174"/>
      <c r="R79" s="174"/>
      <c r="S79" s="174"/>
      <c r="T79" s="122" t="str">
        <f t="shared" si="5"/>
        <v/>
      </c>
      <c r="U79" s="123" t="str">
        <f t="shared" si="6"/>
        <v/>
      </c>
      <c r="V79" s="17"/>
      <c r="W79" s="17"/>
      <c r="X79" s="17"/>
      <c r="Y79" s="17"/>
      <c r="Z79" s="17"/>
      <c r="AA79" s="17"/>
      <c r="AB79" s="17"/>
      <c r="AC79" s="17"/>
      <c r="AD79" s="17"/>
      <c r="AE79" s="17"/>
      <c r="AF79" s="17"/>
    </row>
    <row r="80" ht="15.75" customHeight="1">
      <c r="A80" s="17"/>
      <c r="B80" s="125">
        <v>15.0</v>
      </c>
      <c r="C80" s="170" t="str">
        <f>IF('INPUT DATA'!Q25="","",'INPUT DATA'!Q25)</f>
        <v/>
      </c>
      <c r="D80" s="172"/>
      <c r="E80" s="163"/>
      <c r="F80" s="162" t="str">
        <f>IF('INPUT DATA'!T25="","",'INPUT DATA'!T25)</f>
        <v/>
      </c>
      <c r="G80" s="163"/>
      <c r="H80" s="176" t="str">
        <f>IF('INPUT DATA'!S25="","",'INPUT DATA'!S25)</f>
        <v/>
      </c>
      <c r="I80" s="129" t="str">
        <f t="shared" si="4"/>
        <v/>
      </c>
      <c r="J80" s="130"/>
      <c r="K80" s="131"/>
      <c r="L80" s="130"/>
      <c r="M80" s="130"/>
      <c r="N80" s="130"/>
      <c r="O80" s="130"/>
      <c r="P80" s="174"/>
      <c r="Q80" s="174"/>
      <c r="R80" s="174"/>
      <c r="S80" s="174"/>
      <c r="T80" s="122" t="str">
        <f t="shared" si="5"/>
        <v/>
      </c>
      <c r="U80" s="123" t="str">
        <f t="shared" si="6"/>
        <v/>
      </c>
      <c r="V80" s="17"/>
      <c r="W80" s="17"/>
      <c r="X80" s="17"/>
      <c r="Y80" s="17"/>
      <c r="Z80" s="17"/>
      <c r="AA80" s="17"/>
      <c r="AB80" s="17"/>
      <c r="AC80" s="17"/>
      <c r="AD80" s="17"/>
      <c r="AE80" s="17"/>
      <c r="AF80" s="17"/>
    </row>
    <row r="81" ht="15.75" customHeight="1">
      <c r="A81" s="17"/>
      <c r="B81" s="125">
        <v>16.0</v>
      </c>
      <c r="C81" s="170" t="str">
        <f>IF('INPUT DATA'!Q26="","",'INPUT DATA'!Q26)</f>
        <v/>
      </c>
      <c r="D81" s="172"/>
      <c r="E81" s="163"/>
      <c r="F81" s="162" t="str">
        <f>IF('INPUT DATA'!T26="","",'INPUT DATA'!T26)</f>
        <v/>
      </c>
      <c r="G81" s="163"/>
      <c r="H81" s="176" t="str">
        <f>IF('INPUT DATA'!S26="","",'INPUT DATA'!S26)</f>
        <v/>
      </c>
      <c r="I81" s="129" t="str">
        <f t="shared" si="4"/>
        <v/>
      </c>
      <c r="J81" s="130"/>
      <c r="K81" s="131"/>
      <c r="L81" s="130"/>
      <c r="M81" s="130"/>
      <c r="N81" s="130"/>
      <c r="O81" s="130"/>
      <c r="P81" s="174"/>
      <c r="Q81" s="174"/>
      <c r="R81" s="174"/>
      <c r="S81" s="174"/>
      <c r="T81" s="122" t="str">
        <f t="shared" si="5"/>
        <v/>
      </c>
      <c r="U81" s="123" t="str">
        <f t="shared" si="6"/>
        <v/>
      </c>
      <c r="V81" s="17"/>
      <c r="W81" s="17"/>
      <c r="X81" s="17"/>
      <c r="Y81" s="17"/>
      <c r="Z81" s="17"/>
      <c r="AA81" s="17"/>
      <c r="AB81" s="17"/>
      <c r="AC81" s="17"/>
      <c r="AD81" s="17"/>
      <c r="AE81" s="17"/>
      <c r="AF81" s="17"/>
    </row>
    <row r="82" ht="15.75" customHeight="1">
      <c r="A82" s="17"/>
      <c r="B82" s="125">
        <v>17.0</v>
      </c>
      <c r="C82" s="170" t="str">
        <f>IF('INPUT DATA'!Q27="","",'INPUT DATA'!Q27)</f>
        <v/>
      </c>
      <c r="D82" s="172"/>
      <c r="E82" s="163"/>
      <c r="F82" s="162" t="str">
        <f>IF('INPUT DATA'!T27="","",'INPUT DATA'!T27)</f>
        <v/>
      </c>
      <c r="G82" s="163"/>
      <c r="H82" s="176" t="str">
        <f>IF('INPUT DATA'!S27="","",'INPUT DATA'!S27)</f>
        <v/>
      </c>
      <c r="I82" s="129" t="str">
        <f t="shared" si="4"/>
        <v/>
      </c>
      <c r="J82" s="130"/>
      <c r="K82" s="131"/>
      <c r="L82" s="130"/>
      <c r="M82" s="130"/>
      <c r="N82" s="130"/>
      <c r="O82" s="130"/>
      <c r="P82" s="174"/>
      <c r="Q82" s="174"/>
      <c r="R82" s="174"/>
      <c r="S82" s="174"/>
      <c r="T82" s="122" t="str">
        <f t="shared" si="5"/>
        <v/>
      </c>
      <c r="U82" s="123" t="str">
        <f t="shared" si="6"/>
        <v/>
      </c>
      <c r="V82" s="17"/>
      <c r="W82" s="17"/>
      <c r="X82" s="17"/>
      <c r="Y82" s="17"/>
      <c r="Z82" s="17"/>
      <c r="AA82" s="17"/>
      <c r="AB82" s="17"/>
      <c r="AC82" s="17"/>
      <c r="AD82" s="17"/>
      <c r="AE82" s="17"/>
      <c r="AF82" s="17"/>
    </row>
    <row r="83" ht="15.75" customHeight="1">
      <c r="A83" s="17"/>
      <c r="B83" s="125">
        <v>18.0</v>
      </c>
      <c r="C83" s="170" t="str">
        <f>IF('INPUT DATA'!Q28="","",'INPUT DATA'!Q28)</f>
        <v/>
      </c>
      <c r="D83" s="172"/>
      <c r="E83" s="163"/>
      <c r="F83" s="162" t="str">
        <f>IF('INPUT DATA'!T28="","",'INPUT DATA'!T28)</f>
        <v/>
      </c>
      <c r="G83" s="163"/>
      <c r="H83" s="176" t="str">
        <f>IF('INPUT DATA'!S28="","",'INPUT DATA'!S28)</f>
        <v/>
      </c>
      <c r="I83" s="129" t="str">
        <f t="shared" si="4"/>
        <v/>
      </c>
      <c r="J83" s="130"/>
      <c r="K83" s="131"/>
      <c r="L83" s="130"/>
      <c r="M83" s="130"/>
      <c r="N83" s="130"/>
      <c r="O83" s="130"/>
      <c r="P83" s="174"/>
      <c r="Q83" s="174"/>
      <c r="R83" s="174"/>
      <c r="S83" s="174"/>
      <c r="T83" s="122" t="str">
        <f t="shared" si="5"/>
        <v/>
      </c>
      <c r="U83" s="123" t="str">
        <f t="shared" si="6"/>
        <v/>
      </c>
      <c r="V83" s="17"/>
      <c r="W83" s="17"/>
      <c r="X83" s="17"/>
      <c r="Y83" s="17"/>
      <c r="Z83" s="17"/>
      <c r="AA83" s="17"/>
      <c r="AB83" s="17"/>
      <c r="AC83" s="17"/>
      <c r="AD83" s="17"/>
      <c r="AE83" s="17"/>
      <c r="AF83" s="17"/>
    </row>
    <row r="84" ht="15.75" customHeight="1">
      <c r="A84" s="17"/>
      <c r="B84" s="125">
        <v>19.0</v>
      </c>
      <c r="C84" s="170" t="str">
        <f>IF('INPUT DATA'!Q29="","",'INPUT DATA'!Q29)</f>
        <v/>
      </c>
      <c r="D84" s="172"/>
      <c r="E84" s="163"/>
      <c r="F84" s="162" t="str">
        <f>IF('INPUT DATA'!T29="","",'INPUT DATA'!T29)</f>
        <v/>
      </c>
      <c r="G84" s="163"/>
      <c r="H84" s="176" t="str">
        <f>IF('INPUT DATA'!S29="","",'INPUT DATA'!S29)</f>
        <v/>
      </c>
      <c r="I84" s="129" t="str">
        <f t="shared" si="4"/>
        <v/>
      </c>
      <c r="J84" s="130"/>
      <c r="K84" s="131"/>
      <c r="L84" s="130"/>
      <c r="M84" s="130"/>
      <c r="N84" s="130"/>
      <c r="O84" s="130"/>
      <c r="P84" s="174"/>
      <c r="Q84" s="174"/>
      <c r="R84" s="174"/>
      <c r="S84" s="174"/>
      <c r="T84" s="122" t="str">
        <f t="shared" si="5"/>
        <v/>
      </c>
      <c r="U84" s="123" t="str">
        <f t="shared" si="6"/>
        <v/>
      </c>
      <c r="V84" s="17"/>
      <c r="W84" s="17"/>
      <c r="X84" s="17"/>
      <c r="Y84" s="17"/>
      <c r="Z84" s="17"/>
      <c r="AA84" s="17"/>
      <c r="AB84" s="17"/>
      <c r="AC84" s="17"/>
      <c r="AD84" s="17"/>
      <c r="AE84" s="17"/>
      <c r="AF84" s="17"/>
    </row>
    <row r="85" ht="15.75" customHeight="1">
      <c r="A85" s="17"/>
      <c r="B85" s="135">
        <v>20.0</v>
      </c>
      <c r="C85" s="170" t="str">
        <f>IF('INPUT DATA'!Q30="","",'INPUT DATA'!Q30)</f>
        <v/>
      </c>
      <c r="D85" s="172"/>
      <c r="E85" s="163"/>
      <c r="F85" s="162" t="str">
        <f>IF('INPUT DATA'!T30="","",'INPUT DATA'!T30)</f>
        <v/>
      </c>
      <c r="G85" s="163"/>
      <c r="H85" s="176" t="str">
        <f>IF('INPUT DATA'!S30="","",'INPUT DATA'!S30)</f>
        <v/>
      </c>
      <c r="I85" s="129" t="str">
        <f t="shared" si="4"/>
        <v/>
      </c>
      <c r="J85" s="130"/>
      <c r="K85" s="136"/>
      <c r="L85" s="137"/>
      <c r="M85" s="137"/>
      <c r="N85" s="137"/>
      <c r="O85" s="137"/>
      <c r="P85" s="178"/>
      <c r="Q85" s="178"/>
      <c r="R85" s="178"/>
      <c r="S85" s="178"/>
      <c r="T85" s="122" t="str">
        <f t="shared" si="5"/>
        <v/>
      </c>
      <c r="U85" s="123" t="str">
        <f t="shared" si="6"/>
        <v/>
      </c>
      <c r="V85" s="17"/>
      <c r="W85" s="17"/>
      <c r="X85" s="17"/>
      <c r="Y85" s="17"/>
      <c r="Z85" s="17"/>
      <c r="AA85" s="17"/>
      <c r="AB85" s="17"/>
      <c r="AC85" s="17"/>
      <c r="AD85" s="17"/>
      <c r="AE85" s="17"/>
      <c r="AF85" s="17"/>
    </row>
    <row r="86" ht="15.75" customHeight="1">
      <c r="A86" s="17"/>
      <c r="B86" s="135">
        <v>21.0</v>
      </c>
      <c r="C86" s="170" t="str">
        <f>IF('INPUT DATA'!Q31="","",'INPUT DATA'!Q31)</f>
        <v/>
      </c>
      <c r="D86" s="172"/>
      <c r="E86" s="163"/>
      <c r="F86" s="162" t="str">
        <f>IF('INPUT DATA'!T31="","",'INPUT DATA'!T31)</f>
        <v/>
      </c>
      <c r="G86" s="163"/>
      <c r="H86" s="176" t="str">
        <f>IF('INPUT DATA'!S31="","",'INPUT DATA'!S31)</f>
        <v/>
      </c>
      <c r="I86" s="129" t="str">
        <f t="shared" si="4"/>
        <v/>
      </c>
      <c r="J86" s="130"/>
      <c r="K86" s="131"/>
      <c r="L86" s="130"/>
      <c r="M86" s="130"/>
      <c r="N86" s="130"/>
      <c r="O86" s="130"/>
      <c r="P86" s="174"/>
      <c r="Q86" s="174"/>
      <c r="R86" s="174"/>
      <c r="S86" s="174"/>
      <c r="T86" s="122" t="str">
        <f t="shared" si="5"/>
        <v/>
      </c>
      <c r="U86" s="123" t="str">
        <f t="shared" si="6"/>
        <v/>
      </c>
      <c r="V86" s="17"/>
      <c r="W86" s="17"/>
      <c r="X86" s="17"/>
      <c r="Y86" s="17"/>
      <c r="Z86" s="17"/>
      <c r="AA86" s="17"/>
      <c r="AB86" s="17"/>
      <c r="AC86" s="17"/>
      <c r="AD86" s="17"/>
      <c r="AE86" s="17"/>
      <c r="AF86" s="17"/>
    </row>
    <row r="87" ht="15.75" customHeight="1">
      <c r="A87" s="17"/>
      <c r="B87" s="135">
        <v>22.0</v>
      </c>
      <c r="C87" s="170" t="str">
        <f>IF('INPUT DATA'!Q32="","",'INPUT DATA'!Q32)</f>
        <v/>
      </c>
      <c r="D87" s="172"/>
      <c r="E87" s="163"/>
      <c r="F87" s="162" t="str">
        <f>IF('INPUT DATA'!T32="","",'INPUT DATA'!T32)</f>
        <v/>
      </c>
      <c r="G87" s="163"/>
      <c r="H87" s="176" t="str">
        <f>IF('INPUT DATA'!S32="","",'INPUT DATA'!S32)</f>
        <v/>
      </c>
      <c r="I87" s="129" t="str">
        <f t="shared" si="4"/>
        <v/>
      </c>
      <c r="J87" s="130"/>
      <c r="K87" s="131"/>
      <c r="L87" s="130"/>
      <c r="M87" s="130"/>
      <c r="N87" s="130"/>
      <c r="O87" s="130"/>
      <c r="P87" s="174"/>
      <c r="Q87" s="174"/>
      <c r="R87" s="174"/>
      <c r="S87" s="174"/>
      <c r="T87" s="122" t="str">
        <f t="shared" si="5"/>
        <v/>
      </c>
      <c r="U87" s="123" t="str">
        <f t="shared" si="6"/>
        <v/>
      </c>
      <c r="V87" s="17"/>
      <c r="W87" s="17"/>
      <c r="X87" s="17"/>
      <c r="Y87" s="17"/>
      <c r="Z87" s="17"/>
      <c r="AA87" s="17"/>
      <c r="AB87" s="17"/>
      <c r="AC87" s="17"/>
      <c r="AD87" s="17"/>
      <c r="AE87" s="17"/>
      <c r="AF87" s="17"/>
    </row>
    <row r="88" ht="15.75" customHeight="1">
      <c r="A88" s="17"/>
      <c r="B88" s="135">
        <v>23.0</v>
      </c>
      <c r="C88" s="170" t="str">
        <f>IF('INPUT DATA'!Q33="","",'INPUT DATA'!Q33)</f>
        <v/>
      </c>
      <c r="D88" s="172"/>
      <c r="E88" s="163"/>
      <c r="F88" s="162" t="str">
        <f>IF('INPUT DATA'!T33="","",'INPUT DATA'!T33)</f>
        <v/>
      </c>
      <c r="G88" s="163"/>
      <c r="H88" s="176" t="str">
        <f>IF('INPUT DATA'!S33="","",'INPUT DATA'!S33)</f>
        <v/>
      </c>
      <c r="I88" s="129" t="str">
        <f t="shared" si="4"/>
        <v/>
      </c>
      <c r="J88" s="130"/>
      <c r="K88" s="131"/>
      <c r="L88" s="130"/>
      <c r="M88" s="130"/>
      <c r="N88" s="130"/>
      <c r="O88" s="130"/>
      <c r="P88" s="174"/>
      <c r="Q88" s="174"/>
      <c r="R88" s="174"/>
      <c r="S88" s="174"/>
      <c r="T88" s="122" t="str">
        <f t="shared" si="5"/>
        <v/>
      </c>
      <c r="U88" s="123" t="str">
        <f t="shared" si="6"/>
        <v/>
      </c>
      <c r="V88" s="17"/>
      <c r="W88" s="17"/>
      <c r="X88" s="17"/>
      <c r="Y88" s="17"/>
      <c r="Z88" s="17"/>
      <c r="AA88" s="17"/>
      <c r="AB88" s="17"/>
      <c r="AC88" s="17"/>
      <c r="AD88" s="17"/>
      <c r="AE88" s="17"/>
      <c r="AF88" s="17"/>
    </row>
    <row r="89" ht="15.75" customHeight="1">
      <c r="A89" s="17"/>
      <c r="B89" s="135">
        <v>24.0</v>
      </c>
      <c r="C89" s="170" t="str">
        <f>IF('INPUT DATA'!Q34="","",'INPUT DATA'!Q34)</f>
        <v/>
      </c>
      <c r="D89" s="172"/>
      <c r="E89" s="163"/>
      <c r="F89" s="162" t="str">
        <f>IF('INPUT DATA'!T34="","",'INPUT DATA'!T34)</f>
        <v/>
      </c>
      <c r="G89" s="163"/>
      <c r="H89" s="176" t="str">
        <f>IF('INPUT DATA'!S34="","",'INPUT DATA'!S34)</f>
        <v/>
      </c>
      <c r="I89" s="129" t="str">
        <f t="shared" si="4"/>
        <v/>
      </c>
      <c r="J89" s="130"/>
      <c r="K89" s="131"/>
      <c r="L89" s="130"/>
      <c r="M89" s="130"/>
      <c r="N89" s="130"/>
      <c r="O89" s="130"/>
      <c r="P89" s="174"/>
      <c r="Q89" s="174"/>
      <c r="R89" s="174"/>
      <c r="S89" s="174"/>
      <c r="T89" s="122" t="str">
        <f t="shared" si="5"/>
        <v/>
      </c>
      <c r="U89" s="123" t="str">
        <f t="shared" si="6"/>
        <v/>
      </c>
      <c r="V89" s="17"/>
      <c r="W89" s="17"/>
      <c r="X89" s="17"/>
      <c r="Y89" s="17"/>
      <c r="Z89" s="17"/>
      <c r="AA89" s="17"/>
      <c r="AB89" s="17"/>
      <c r="AC89" s="17"/>
      <c r="AD89" s="17"/>
      <c r="AE89" s="17"/>
      <c r="AF89" s="17"/>
    </row>
    <row r="90" ht="15.75" customHeight="1">
      <c r="A90" s="17"/>
      <c r="B90" s="135">
        <v>25.0</v>
      </c>
      <c r="C90" s="170" t="str">
        <f>IF('INPUT DATA'!Q35="","",'INPUT DATA'!Q35)</f>
        <v/>
      </c>
      <c r="D90" s="172"/>
      <c r="E90" s="163"/>
      <c r="F90" s="162" t="str">
        <f>IF('INPUT DATA'!T35="","",'INPUT DATA'!T35)</f>
        <v/>
      </c>
      <c r="G90" s="163"/>
      <c r="H90" s="176" t="str">
        <f>IF('INPUT DATA'!S35="","",'INPUT DATA'!S35)</f>
        <v/>
      </c>
      <c r="I90" s="129" t="str">
        <f t="shared" si="4"/>
        <v/>
      </c>
      <c r="J90" s="130"/>
      <c r="K90" s="131"/>
      <c r="L90" s="130"/>
      <c r="M90" s="130"/>
      <c r="N90" s="130"/>
      <c r="O90" s="130"/>
      <c r="P90" s="174"/>
      <c r="Q90" s="174"/>
      <c r="R90" s="174"/>
      <c r="S90" s="174"/>
      <c r="T90" s="122" t="str">
        <f t="shared" si="5"/>
        <v/>
      </c>
      <c r="U90" s="123" t="str">
        <f t="shared" si="6"/>
        <v/>
      </c>
      <c r="V90" s="17"/>
      <c r="W90" s="17"/>
      <c r="X90" s="17"/>
      <c r="Y90" s="17"/>
      <c r="Z90" s="17"/>
      <c r="AA90" s="17"/>
      <c r="AB90" s="17"/>
      <c r="AC90" s="17"/>
      <c r="AD90" s="17"/>
      <c r="AE90" s="17"/>
      <c r="AF90" s="17"/>
    </row>
    <row r="91" ht="15.75" customHeight="1">
      <c r="A91" s="17"/>
      <c r="B91" s="135">
        <v>26.0</v>
      </c>
      <c r="C91" s="170" t="str">
        <f>IF('INPUT DATA'!Q36="","",'INPUT DATA'!Q36)</f>
        <v/>
      </c>
      <c r="D91" s="172"/>
      <c r="E91" s="163"/>
      <c r="F91" s="162" t="str">
        <f>IF('INPUT DATA'!T36="","",'INPUT DATA'!T36)</f>
        <v/>
      </c>
      <c r="G91" s="163"/>
      <c r="H91" s="176" t="str">
        <f>IF('INPUT DATA'!S36="","",'INPUT DATA'!S36)</f>
        <v/>
      </c>
      <c r="I91" s="129" t="str">
        <f t="shared" si="4"/>
        <v/>
      </c>
      <c r="J91" s="130"/>
      <c r="K91" s="131"/>
      <c r="L91" s="130"/>
      <c r="M91" s="130"/>
      <c r="N91" s="130"/>
      <c r="O91" s="130"/>
      <c r="P91" s="174"/>
      <c r="Q91" s="174"/>
      <c r="R91" s="174"/>
      <c r="S91" s="174"/>
      <c r="T91" s="122" t="str">
        <f t="shared" si="5"/>
        <v/>
      </c>
      <c r="U91" s="123" t="str">
        <f t="shared" si="6"/>
        <v/>
      </c>
      <c r="V91" s="17"/>
      <c r="W91" s="17"/>
      <c r="X91" s="17"/>
      <c r="Y91" s="17"/>
      <c r="Z91" s="17"/>
      <c r="AA91" s="17"/>
      <c r="AB91" s="17"/>
      <c r="AC91" s="17"/>
      <c r="AD91" s="17"/>
      <c r="AE91" s="17"/>
      <c r="AF91" s="17"/>
    </row>
    <row r="92" ht="15.75" customHeight="1">
      <c r="A92" s="17"/>
      <c r="B92" s="135">
        <v>27.0</v>
      </c>
      <c r="C92" s="170" t="str">
        <f>IF('INPUT DATA'!Q37="","",'INPUT DATA'!Q37)</f>
        <v/>
      </c>
      <c r="D92" s="172"/>
      <c r="E92" s="163"/>
      <c r="F92" s="162" t="str">
        <f>IF('INPUT DATA'!T37="","",'INPUT DATA'!T37)</f>
        <v/>
      </c>
      <c r="G92" s="163"/>
      <c r="H92" s="176" t="str">
        <f>IF('INPUT DATA'!S37="","",'INPUT DATA'!S37)</f>
        <v/>
      </c>
      <c r="I92" s="129" t="str">
        <f t="shared" si="4"/>
        <v/>
      </c>
      <c r="J92" s="130"/>
      <c r="K92" s="131"/>
      <c r="L92" s="130"/>
      <c r="M92" s="130"/>
      <c r="N92" s="130"/>
      <c r="O92" s="130"/>
      <c r="P92" s="174"/>
      <c r="Q92" s="174"/>
      <c r="R92" s="174"/>
      <c r="S92" s="174"/>
      <c r="T92" s="122" t="str">
        <f t="shared" si="5"/>
        <v/>
      </c>
      <c r="U92" s="123" t="str">
        <f t="shared" si="6"/>
        <v/>
      </c>
      <c r="V92" s="17"/>
      <c r="W92" s="17"/>
      <c r="X92" s="17"/>
      <c r="Y92" s="17"/>
      <c r="Z92" s="17"/>
      <c r="AA92" s="17"/>
      <c r="AB92" s="17"/>
      <c r="AC92" s="17"/>
      <c r="AD92" s="17"/>
      <c r="AE92" s="17"/>
      <c r="AF92" s="17"/>
    </row>
    <row r="93" ht="15.75" customHeight="1">
      <c r="A93" s="17"/>
      <c r="B93" s="135">
        <v>28.0</v>
      </c>
      <c r="C93" s="170" t="str">
        <f>IF('INPUT DATA'!Q38="","",'INPUT DATA'!Q38)</f>
        <v/>
      </c>
      <c r="D93" s="172"/>
      <c r="E93" s="163"/>
      <c r="F93" s="162" t="str">
        <f>IF('INPUT DATA'!T38="","",'INPUT DATA'!T38)</f>
        <v/>
      </c>
      <c r="G93" s="163"/>
      <c r="H93" s="176" t="str">
        <f>IF('INPUT DATA'!S38="","",'INPUT DATA'!S38)</f>
        <v/>
      </c>
      <c r="I93" s="129" t="str">
        <f t="shared" si="4"/>
        <v/>
      </c>
      <c r="J93" s="130"/>
      <c r="K93" s="131"/>
      <c r="L93" s="130"/>
      <c r="M93" s="130"/>
      <c r="N93" s="130"/>
      <c r="O93" s="130"/>
      <c r="P93" s="174"/>
      <c r="Q93" s="174"/>
      <c r="R93" s="174"/>
      <c r="S93" s="174"/>
      <c r="T93" s="122" t="str">
        <f t="shared" si="5"/>
        <v/>
      </c>
      <c r="U93" s="123" t="str">
        <f t="shared" si="6"/>
        <v/>
      </c>
      <c r="V93" s="17"/>
      <c r="W93" s="17"/>
      <c r="X93" s="17"/>
      <c r="Y93" s="17"/>
      <c r="Z93" s="17"/>
      <c r="AA93" s="17"/>
      <c r="AB93" s="17"/>
      <c r="AC93" s="17"/>
      <c r="AD93" s="17"/>
      <c r="AE93" s="17"/>
      <c r="AF93" s="17"/>
    </row>
    <row r="94" ht="15.75" customHeight="1">
      <c r="A94" s="17"/>
      <c r="B94" s="135">
        <v>29.0</v>
      </c>
      <c r="C94" s="170" t="str">
        <f>IF('INPUT DATA'!Q39="","",'INPUT DATA'!Q39)</f>
        <v/>
      </c>
      <c r="D94" s="172"/>
      <c r="E94" s="163"/>
      <c r="F94" s="162" t="str">
        <f>IF('INPUT DATA'!T39="","",'INPUT DATA'!T39)</f>
        <v/>
      </c>
      <c r="G94" s="163"/>
      <c r="H94" s="176" t="str">
        <f>IF('INPUT DATA'!S39="","",'INPUT DATA'!S39)</f>
        <v/>
      </c>
      <c r="I94" s="129" t="str">
        <f t="shared" si="4"/>
        <v/>
      </c>
      <c r="J94" s="130"/>
      <c r="K94" s="131"/>
      <c r="L94" s="130"/>
      <c r="M94" s="130"/>
      <c r="N94" s="130"/>
      <c r="O94" s="130"/>
      <c r="P94" s="174"/>
      <c r="Q94" s="174"/>
      <c r="R94" s="174"/>
      <c r="S94" s="174"/>
      <c r="T94" s="122" t="str">
        <f t="shared" si="5"/>
        <v/>
      </c>
      <c r="U94" s="123" t="str">
        <f t="shared" si="6"/>
        <v/>
      </c>
      <c r="V94" s="17"/>
      <c r="W94" s="17"/>
      <c r="X94" s="17"/>
      <c r="Y94" s="17"/>
      <c r="Z94" s="17"/>
      <c r="AA94" s="17"/>
      <c r="AB94" s="17"/>
      <c r="AC94" s="17"/>
      <c r="AD94" s="17"/>
      <c r="AE94" s="17"/>
      <c r="AF94" s="17"/>
    </row>
    <row r="95" ht="15.75" customHeight="1">
      <c r="A95" s="17"/>
      <c r="B95" s="135">
        <v>30.0</v>
      </c>
      <c r="C95" s="170" t="str">
        <f>IF('INPUT DATA'!Q40="","",'INPUT DATA'!Q40)</f>
        <v/>
      </c>
      <c r="D95" s="172"/>
      <c r="E95" s="163"/>
      <c r="F95" s="162" t="str">
        <f>IF('INPUT DATA'!T40="","",'INPUT DATA'!T40)</f>
        <v/>
      </c>
      <c r="G95" s="163"/>
      <c r="H95" s="176" t="str">
        <f>IF('INPUT DATA'!S40="","",'INPUT DATA'!S40)</f>
        <v/>
      </c>
      <c r="I95" s="129" t="str">
        <f t="shared" si="4"/>
        <v/>
      </c>
      <c r="J95" s="130"/>
      <c r="K95" s="131"/>
      <c r="L95" s="130"/>
      <c r="M95" s="130"/>
      <c r="N95" s="130"/>
      <c r="O95" s="130"/>
      <c r="P95" s="174"/>
      <c r="Q95" s="174"/>
      <c r="R95" s="174"/>
      <c r="S95" s="174"/>
      <c r="T95" s="122" t="str">
        <f t="shared" si="5"/>
        <v/>
      </c>
      <c r="U95" s="123" t="str">
        <f t="shared" si="6"/>
        <v/>
      </c>
      <c r="V95" s="17"/>
      <c r="W95" s="17"/>
      <c r="X95" s="17"/>
      <c r="Y95" s="17"/>
      <c r="Z95" s="17"/>
      <c r="AA95" s="17"/>
      <c r="AB95" s="17"/>
      <c r="AC95" s="17"/>
      <c r="AD95" s="17"/>
      <c r="AE95" s="17"/>
      <c r="AF95" s="17"/>
    </row>
    <row r="96" ht="15.75" customHeight="1">
      <c r="A96" s="17"/>
      <c r="B96" s="135">
        <v>31.0</v>
      </c>
      <c r="C96" s="170" t="str">
        <f>IF('INPUT DATA'!Q41="","",'INPUT DATA'!Q41)</f>
        <v/>
      </c>
      <c r="D96" s="172"/>
      <c r="E96" s="163"/>
      <c r="F96" s="162" t="str">
        <f>IF('INPUT DATA'!T41="","",'INPUT DATA'!T41)</f>
        <v/>
      </c>
      <c r="G96" s="163"/>
      <c r="H96" s="176" t="str">
        <f>IF('INPUT DATA'!S41="","",'INPUT DATA'!S41)</f>
        <v/>
      </c>
      <c r="I96" s="129" t="str">
        <f t="shared" si="4"/>
        <v/>
      </c>
      <c r="J96" s="130"/>
      <c r="K96" s="131"/>
      <c r="L96" s="130"/>
      <c r="M96" s="130"/>
      <c r="N96" s="130"/>
      <c r="O96" s="130"/>
      <c r="P96" s="174"/>
      <c r="Q96" s="174"/>
      <c r="R96" s="174"/>
      <c r="S96" s="174"/>
      <c r="T96" s="122" t="str">
        <f t="shared" si="5"/>
        <v/>
      </c>
      <c r="U96" s="123" t="str">
        <f t="shared" si="6"/>
        <v/>
      </c>
      <c r="V96" s="17"/>
      <c r="W96" s="17"/>
      <c r="X96" s="17"/>
      <c r="Y96" s="17"/>
      <c r="Z96" s="17"/>
      <c r="AA96" s="17"/>
      <c r="AB96" s="17"/>
      <c r="AC96" s="17"/>
      <c r="AD96" s="17"/>
      <c r="AE96" s="17"/>
      <c r="AF96" s="17"/>
    </row>
    <row r="97" ht="15.75" customHeight="1">
      <c r="A97" s="17"/>
      <c r="B97" s="135">
        <v>32.0</v>
      </c>
      <c r="C97" s="170" t="str">
        <f>IF('INPUT DATA'!Q42="","",'INPUT DATA'!Q42)</f>
        <v/>
      </c>
      <c r="D97" s="172"/>
      <c r="E97" s="163"/>
      <c r="F97" s="162" t="str">
        <f>IF('INPUT DATA'!T42="","",'INPUT DATA'!T42)</f>
        <v/>
      </c>
      <c r="G97" s="163"/>
      <c r="H97" s="176" t="str">
        <f>IF('INPUT DATA'!S42="","",'INPUT DATA'!S42)</f>
        <v/>
      </c>
      <c r="I97" s="129" t="str">
        <f t="shared" si="4"/>
        <v/>
      </c>
      <c r="J97" s="130"/>
      <c r="K97" s="131"/>
      <c r="L97" s="130"/>
      <c r="M97" s="130"/>
      <c r="N97" s="130"/>
      <c r="O97" s="130"/>
      <c r="P97" s="174"/>
      <c r="Q97" s="174"/>
      <c r="R97" s="174"/>
      <c r="S97" s="174"/>
      <c r="T97" s="122" t="str">
        <f t="shared" si="5"/>
        <v/>
      </c>
      <c r="U97" s="123" t="str">
        <f t="shared" si="6"/>
        <v/>
      </c>
      <c r="V97" s="17"/>
      <c r="W97" s="17"/>
      <c r="X97" s="17"/>
      <c r="Y97" s="17"/>
      <c r="Z97" s="17"/>
      <c r="AA97" s="17"/>
      <c r="AB97" s="17"/>
      <c r="AC97" s="17"/>
      <c r="AD97" s="17"/>
      <c r="AE97" s="17"/>
      <c r="AF97" s="17"/>
    </row>
    <row r="98" ht="15.75" customHeight="1">
      <c r="A98" s="17"/>
      <c r="B98" s="135">
        <v>33.0</v>
      </c>
      <c r="C98" s="170" t="str">
        <f>IF('INPUT DATA'!Q43="","",'INPUT DATA'!Q43)</f>
        <v/>
      </c>
      <c r="D98" s="172"/>
      <c r="E98" s="163"/>
      <c r="F98" s="162" t="str">
        <f>IF('INPUT DATA'!T43="","",'INPUT DATA'!T43)</f>
        <v/>
      </c>
      <c r="G98" s="163"/>
      <c r="H98" s="176" t="str">
        <f>IF('INPUT DATA'!S43="","",'INPUT DATA'!S43)</f>
        <v/>
      </c>
      <c r="I98" s="129" t="str">
        <f t="shared" si="4"/>
        <v/>
      </c>
      <c r="J98" s="130"/>
      <c r="K98" s="131"/>
      <c r="L98" s="130"/>
      <c r="M98" s="130"/>
      <c r="N98" s="130"/>
      <c r="O98" s="130"/>
      <c r="P98" s="174"/>
      <c r="Q98" s="174"/>
      <c r="R98" s="174"/>
      <c r="S98" s="174"/>
      <c r="T98" s="122" t="str">
        <f t="shared" si="5"/>
        <v/>
      </c>
      <c r="U98" s="123" t="str">
        <f t="shared" si="6"/>
        <v/>
      </c>
      <c r="V98" s="17"/>
      <c r="W98" s="17"/>
      <c r="X98" s="17"/>
      <c r="Y98" s="17"/>
      <c r="Z98" s="17"/>
      <c r="AA98" s="17"/>
      <c r="AB98" s="17"/>
      <c r="AC98" s="17"/>
      <c r="AD98" s="17"/>
      <c r="AE98" s="17"/>
      <c r="AF98" s="17"/>
    </row>
    <row r="99" ht="15.75" customHeight="1">
      <c r="A99" s="17"/>
      <c r="B99" s="135">
        <v>34.0</v>
      </c>
      <c r="C99" s="170" t="str">
        <f>IF('INPUT DATA'!Q44="","",'INPUT DATA'!Q44)</f>
        <v/>
      </c>
      <c r="D99" s="172"/>
      <c r="E99" s="163"/>
      <c r="F99" s="162" t="str">
        <f>IF('INPUT DATA'!T44="","",'INPUT DATA'!T44)</f>
        <v/>
      </c>
      <c r="G99" s="163"/>
      <c r="H99" s="176" t="str">
        <f>IF('INPUT DATA'!S44="","",'INPUT DATA'!S44)</f>
        <v/>
      </c>
      <c r="I99" s="129" t="str">
        <f t="shared" si="4"/>
        <v/>
      </c>
      <c r="J99" s="130"/>
      <c r="K99" s="131"/>
      <c r="L99" s="130"/>
      <c r="M99" s="130"/>
      <c r="N99" s="130"/>
      <c r="O99" s="130"/>
      <c r="P99" s="174"/>
      <c r="Q99" s="174"/>
      <c r="R99" s="174"/>
      <c r="S99" s="174"/>
      <c r="T99" s="122" t="str">
        <f t="shared" si="5"/>
        <v/>
      </c>
      <c r="U99" s="123" t="str">
        <f t="shared" si="6"/>
        <v/>
      </c>
      <c r="V99" s="17"/>
      <c r="W99" s="17"/>
      <c r="X99" s="17"/>
      <c r="Y99" s="17"/>
      <c r="Z99" s="17"/>
      <c r="AA99" s="17"/>
      <c r="AB99" s="17"/>
      <c r="AC99" s="17"/>
      <c r="AD99" s="17"/>
      <c r="AE99" s="17"/>
      <c r="AF99" s="17"/>
    </row>
    <row r="100" ht="15.75" customHeight="1">
      <c r="A100" s="17"/>
      <c r="B100" s="135">
        <v>35.0</v>
      </c>
      <c r="C100" s="170" t="str">
        <f>IF('INPUT DATA'!Q45="","",'INPUT DATA'!Q45)</f>
        <v/>
      </c>
      <c r="D100" s="172"/>
      <c r="E100" s="163"/>
      <c r="F100" s="162" t="str">
        <f>IF('INPUT DATA'!T45="","",'INPUT DATA'!T45)</f>
        <v/>
      </c>
      <c r="G100" s="163"/>
      <c r="H100" s="176" t="str">
        <f>IF('INPUT DATA'!S45="","",'INPUT DATA'!S45)</f>
        <v/>
      </c>
      <c r="I100" s="129" t="str">
        <f t="shared" si="4"/>
        <v/>
      </c>
      <c r="J100" s="130"/>
      <c r="K100" s="131"/>
      <c r="L100" s="130"/>
      <c r="M100" s="130"/>
      <c r="N100" s="130"/>
      <c r="O100" s="130"/>
      <c r="P100" s="174"/>
      <c r="Q100" s="174"/>
      <c r="R100" s="174"/>
      <c r="S100" s="174"/>
      <c r="T100" s="122" t="str">
        <f t="shared" si="5"/>
        <v/>
      </c>
      <c r="U100" s="123" t="str">
        <f t="shared" si="6"/>
        <v/>
      </c>
      <c r="V100" s="17"/>
      <c r="W100" s="17"/>
      <c r="X100" s="17"/>
      <c r="Y100" s="17"/>
      <c r="Z100" s="17"/>
      <c r="AA100" s="17"/>
      <c r="AB100" s="17"/>
      <c r="AC100" s="17"/>
      <c r="AD100" s="17"/>
      <c r="AE100" s="17"/>
      <c r="AF100" s="17"/>
    </row>
    <row r="101" ht="15.75" customHeight="1">
      <c r="A101" s="17"/>
      <c r="B101" s="135">
        <v>36.0</v>
      </c>
      <c r="C101" s="170" t="str">
        <f>IF('INPUT DATA'!Q46="","",'INPUT DATA'!Q46)</f>
        <v/>
      </c>
      <c r="D101" s="172"/>
      <c r="E101" s="163"/>
      <c r="F101" s="162" t="str">
        <f>IF('INPUT DATA'!T46="","",'INPUT DATA'!T46)</f>
        <v/>
      </c>
      <c r="G101" s="163"/>
      <c r="H101" s="176" t="str">
        <f>IF('INPUT DATA'!S46="","",'INPUT DATA'!S46)</f>
        <v/>
      </c>
      <c r="I101" s="129" t="str">
        <f t="shared" si="4"/>
        <v/>
      </c>
      <c r="J101" s="130"/>
      <c r="K101" s="131"/>
      <c r="L101" s="130"/>
      <c r="M101" s="130"/>
      <c r="N101" s="130"/>
      <c r="O101" s="130"/>
      <c r="P101" s="174"/>
      <c r="Q101" s="174"/>
      <c r="R101" s="174"/>
      <c r="S101" s="174"/>
      <c r="T101" s="122" t="str">
        <f t="shared" si="5"/>
        <v/>
      </c>
      <c r="U101" s="123" t="str">
        <f t="shared" si="6"/>
        <v/>
      </c>
      <c r="V101" s="17"/>
      <c r="W101" s="17"/>
      <c r="X101" s="17"/>
      <c r="Y101" s="17"/>
      <c r="Z101" s="17"/>
      <c r="AA101" s="17"/>
      <c r="AB101" s="17"/>
      <c r="AC101" s="17"/>
      <c r="AD101" s="17"/>
      <c r="AE101" s="17"/>
      <c r="AF101" s="17"/>
    </row>
    <row r="102" ht="15.75" customHeight="1">
      <c r="A102" s="17"/>
      <c r="B102" s="135">
        <v>37.0</v>
      </c>
      <c r="C102" s="170" t="str">
        <f>IF('INPUT DATA'!Q47="","",'INPUT DATA'!Q47)</f>
        <v/>
      </c>
      <c r="D102" s="172"/>
      <c r="E102" s="163"/>
      <c r="F102" s="162" t="str">
        <f>IF('INPUT DATA'!T47="","",'INPUT DATA'!T47)</f>
        <v/>
      </c>
      <c r="G102" s="163"/>
      <c r="H102" s="176" t="str">
        <f>IF('INPUT DATA'!S47="","",'INPUT DATA'!S47)</f>
        <v/>
      </c>
      <c r="I102" s="129" t="str">
        <f t="shared" si="4"/>
        <v/>
      </c>
      <c r="J102" s="130"/>
      <c r="K102" s="131"/>
      <c r="L102" s="130"/>
      <c r="M102" s="130"/>
      <c r="N102" s="130"/>
      <c r="O102" s="130"/>
      <c r="P102" s="174"/>
      <c r="Q102" s="174"/>
      <c r="R102" s="174"/>
      <c r="S102" s="174"/>
      <c r="T102" s="122" t="str">
        <f t="shared" si="5"/>
        <v/>
      </c>
      <c r="U102" s="123" t="str">
        <f t="shared" si="6"/>
        <v/>
      </c>
      <c r="V102" s="17"/>
      <c r="W102" s="17"/>
      <c r="X102" s="17"/>
      <c r="Y102" s="17"/>
      <c r="Z102" s="17"/>
      <c r="AA102" s="17"/>
      <c r="AB102" s="17"/>
      <c r="AC102" s="17"/>
      <c r="AD102" s="17"/>
      <c r="AE102" s="17"/>
      <c r="AF102" s="17"/>
    </row>
    <row r="103" ht="15.75" customHeight="1">
      <c r="A103" s="17"/>
      <c r="B103" s="135">
        <v>38.0</v>
      </c>
      <c r="C103" s="170" t="str">
        <f>IF('INPUT DATA'!Q48="","",'INPUT DATA'!Q48)</f>
        <v/>
      </c>
      <c r="D103" s="172"/>
      <c r="E103" s="163"/>
      <c r="F103" s="162" t="str">
        <f>IF('INPUT DATA'!T48="","",'INPUT DATA'!T48)</f>
        <v/>
      </c>
      <c r="G103" s="163"/>
      <c r="H103" s="176" t="str">
        <f>IF('INPUT DATA'!S48="","",'INPUT DATA'!S48)</f>
        <v/>
      </c>
      <c r="I103" s="129" t="str">
        <f t="shared" si="4"/>
        <v/>
      </c>
      <c r="J103" s="130"/>
      <c r="K103" s="131"/>
      <c r="L103" s="130"/>
      <c r="M103" s="130"/>
      <c r="N103" s="130"/>
      <c r="O103" s="130"/>
      <c r="P103" s="174"/>
      <c r="Q103" s="174"/>
      <c r="R103" s="174"/>
      <c r="S103" s="174"/>
      <c r="T103" s="122" t="str">
        <f t="shared" si="5"/>
        <v/>
      </c>
      <c r="U103" s="123" t="str">
        <f t="shared" si="6"/>
        <v/>
      </c>
      <c r="V103" s="17"/>
      <c r="W103" s="17"/>
      <c r="X103" s="17"/>
      <c r="Y103" s="17"/>
      <c r="Z103" s="17"/>
      <c r="AA103" s="17"/>
      <c r="AB103" s="17"/>
      <c r="AC103" s="17"/>
      <c r="AD103" s="17"/>
      <c r="AE103" s="17"/>
      <c r="AF103" s="17"/>
    </row>
    <row r="104" ht="15.75" customHeight="1">
      <c r="A104" s="17"/>
      <c r="B104" s="135">
        <v>39.0</v>
      </c>
      <c r="C104" s="170" t="str">
        <f>IF('INPUT DATA'!Q49="","",'INPUT DATA'!Q49)</f>
        <v/>
      </c>
      <c r="D104" s="172"/>
      <c r="E104" s="163"/>
      <c r="F104" s="162" t="str">
        <f>IF('INPUT DATA'!T49="","",'INPUT DATA'!T49)</f>
        <v/>
      </c>
      <c r="G104" s="163"/>
      <c r="H104" s="176" t="str">
        <f>IF('INPUT DATA'!S49="","",'INPUT DATA'!S49)</f>
        <v/>
      </c>
      <c r="I104" s="129" t="str">
        <f t="shared" si="4"/>
        <v/>
      </c>
      <c r="J104" s="130"/>
      <c r="K104" s="131"/>
      <c r="L104" s="130"/>
      <c r="M104" s="130"/>
      <c r="N104" s="130"/>
      <c r="O104" s="130"/>
      <c r="P104" s="174"/>
      <c r="Q104" s="174"/>
      <c r="R104" s="174"/>
      <c r="S104" s="174"/>
      <c r="T104" s="122" t="str">
        <f t="shared" si="5"/>
        <v/>
      </c>
      <c r="U104" s="123" t="str">
        <f t="shared" si="6"/>
        <v/>
      </c>
      <c r="V104" s="17"/>
      <c r="W104" s="17"/>
      <c r="X104" s="17"/>
      <c r="Y104" s="17"/>
      <c r="Z104" s="17"/>
      <c r="AA104" s="17"/>
      <c r="AB104" s="17"/>
      <c r="AC104" s="17"/>
      <c r="AD104" s="17"/>
      <c r="AE104" s="17"/>
      <c r="AF104" s="17"/>
    </row>
    <row r="105" ht="15.75" customHeight="1">
      <c r="A105" s="17"/>
      <c r="B105" s="135">
        <v>40.0</v>
      </c>
      <c r="C105" s="170" t="str">
        <f>IF('INPUT DATA'!Q50="","",'INPUT DATA'!Q50)</f>
        <v/>
      </c>
      <c r="D105" s="172"/>
      <c r="E105" s="163"/>
      <c r="F105" s="162" t="str">
        <f>IF('INPUT DATA'!T50="","",'INPUT DATA'!T50)</f>
        <v/>
      </c>
      <c r="G105" s="163"/>
      <c r="H105" s="176" t="str">
        <f>IF('INPUT DATA'!S50="","",'INPUT DATA'!S50)</f>
        <v/>
      </c>
      <c r="I105" s="129" t="str">
        <f t="shared" si="4"/>
        <v/>
      </c>
      <c r="J105" s="130"/>
      <c r="K105" s="131"/>
      <c r="L105" s="130"/>
      <c r="M105" s="130"/>
      <c r="N105" s="130"/>
      <c r="O105" s="130"/>
      <c r="P105" s="174"/>
      <c r="Q105" s="174"/>
      <c r="R105" s="174"/>
      <c r="S105" s="174"/>
      <c r="T105" s="122" t="str">
        <f t="shared" si="5"/>
        <v/>
      </c>
      <c r="U105" s="123" t="str">
        <f t="shared" si="6"/>
        <v/>
      </c>
      <c r="V105" s="17"/>
      <c r="W105" s="17"/>
      <c r="X105" s="17"/>
      <c r="Y105" s="17"/>
      <c r="Z105" s="17"/>
      <c r="AA105" s="17"/>
      <c r="AB105" s="17"/>
      <c r="AC105" s="17"/>
      <c r="AD105" s="17"/>
      <c r="AE105" s="17"/>
      <c r="AF105" s="17"/>
    </row>
    <row r="106" ht="15.75" customHeight="1">
      <c r="A106" s="17"/>
      <c r="B106" s="135">
        <v>41.0</v>
      </c>
      <c r="C106" s="170" t="str">
        <f>IF('INPUT DATA'!Q51="","",'INPUT DATA'!Q51)</f>
        <v/>
      </c>
      <c r="D106" s="172"/>
      <c r="E106" s="163"/>
      <c r="F106" s="162" t="str">
        <f>IF('INPUT DATA'!T51="","",'INPUT DATA'!T51)</f>
        <v/>
      </c>
      <c r="G106" s="163"/>
      <c r="H106" s="176" t="str">
        <f>IF('INPUT DATA'!S51="","",'INPUT DATA'!S51)</f>
        <v/>
      </c>
      <c r="I106" s="129" t="str">
        <f t="shared" si="4"/>
        <v/>
      </c>
      <c r="J106" s="130"/>
      <c r="K106" s="131"/>
      <c r="L106" s="130"/>
      <c r="M106" s="130"/>
      <c r="N106" s="130"/>
      <c r="O106" s="130"/>
      <c r="P106" s="174"/>
      <c r="Q106" s="174"/>
      <c r="R106" s="174"/>
      <c r="S106" s="174"/>
      <c r="T106" s="122" t="str">
        <f t="shared" si="5"/>
        <v/>
      </c>
      <c r="U106" s="123" t="str">
        <f t="shared" si="6"/>
        <v/>
      </c>
      <c r="V106" s="17"/>
      <c r="W106" s="17"/>
      <c r="X106" s="17"/>
      <c r="Y106" s="17"/>
      <c r="Z106" s="17"/>
      <c r="AA106" s="17"/>
      <c r="AB106" s="17"/>
      <c r="AC106" s="17"/>
      <c r="AD106" s="17"/>
      <c r="AE106" s="17"/>
      <c r="AF106" s="17"/>
    </row>
    <row r="107" ht="15.75" customHeight="1">
      <c r="A107" s="17"/>
      <c r="B107" s="135">
        <v>42.0</v>
      </c>
      <c r="C107" s="170" t="str">
        <f>IF('INPUT DATA'!Q52="","",'INPUT DATA'!Q52)</f>
        <v/>
      </c>
      <c r="D107" s="172"/>
      <c r="E107" s="163"/>
      <c r="F107" s="162" t="str">
        <f>IF('INPUT DATA'!T52="","",'INPUT DATA'!T52)</f>
        <v/>
      </c>
      <c r="G107" s="163"/>
      <c r="H107" s="176" t="str">
        <f>IF('INPUT DATA'!S52="","",'INPUT DATA'!S52)</f>
        <v/>
      </c>
      <c r="I107" s="129" t="str">
        <f t="shared" si="4"/>
        <v/>
      </c>
      <c r="J107" s="130"/>
      <c r="K107" s="131"/>
      <c r="L107" s="130"/>
      <c r="M107" s="130"/>
      <c r="N107" s="130"/>
      <c r="O107" s="130"/>
      <c r="P107" s="174"/>
      <c r="Q107" s="174"/>
      <c r="R107" s="174"/>
      <c r="S107" s="174"/>
      <c r="T107" s="122" t="str">
        <f t="shared" si="5"/>
        <v/>
      </c>
      <c r="U107" s="123" t="str">
        <f t="shared" si="6"/>
        <v/>
      </c>
      <c r="V107" s="17"/>
      <c r="W107" s="17"/>
      <c r="X107" s="17"/>
      <c r="Y107" s="17"/>
      <c r="Z107" s="17"/>
      <c r="AA107" s="17"/>
      <c r="AB107" s="17"/>
      <c r="AC107" s="17"/>
      <c r="AD107" s="17"/>
      <c r="AE107" s="17"/>
      <c r="AF107" s="17"/>
    </row>
    <row r="108" ht="15.75" customHeight="1">
      <c r="A108" s="17"/>
      <c r="B108" s="135">
        <v>43.0</v>
      </c>
      <c r="C108" s="170" t="str">
        <f>IF('INPUT DATA'!Q53="","",'INPUT DATA'!Q53)</f>
        <v/>
      </c>
      <c r="D108" s="172"/>
      <c r="E108" s="163"/>
      <c r="F108" s="162" t="str">
        <f>IF('INPUT DATA'!T53="","",'INPUT DATA'!T53)</f>
        <v/>
      </c>
      <c r="G108" s="163"/>
      <c r="H108" s="176" t="str">
        <f>IF('INPUT DATA'!S53="","",'INPUT DATA'!S53)</f>
        <v/>
      </c>
      <c r="I108" s="129" t="str">
        <f t="shared" si="4"/>
        <v/>
      </c>
      <c r="J108" s="130"/>
      <c r="K108" s="131"/>
      <c r="L108" s="130"/>
      <c r="M108" s="130"/>
      <c r="N108" s="130"/>
      <c r="O108" s="130"/>
      <c r="P108" s="174"/>
      <c r="Q108" s="174"/>
      <c r="R108" s="174"/>
      <c r="S108" s="174"/>
      <c r="T108" s="122" t="str">
        <f t="shared" si="5"/>
        <v/>
      </c>
      <c r="U108" s="123" t="str">
        <f t="shared" si="6"/>
        <v/>
      </c>
      <c r="V108" s="17"/>
      <c r="W108" s="17"/>
      <c r="X108" s="17"/>
      <c r="Y108" s="17"/>
      <c r="Z108" s="17"/>
      <c r="AA108" s="17"/>
      <c r="AB108" s="17"/>
      <c r="AC108" s="17"/>
      <c r="AD108" s="17"/>
      <c r="AE108" s="17"/>
      <c r="AF108" s="17"/>
    </row>
    <row r="109" ht="15.75" customHeight="1">
      <c r="A109" s="17"/>
      <c r="B109" s="135">
        <v>44.0</v>
      </c>
      <c r="C109" s="170" t="str">
        <f>IF('INPUT DATA'!Q54="","",'INPUT DATA'!Q54)</f>
        <v/>
      </c>
      <c r="D109" s="172"/>
      <c r="E109" s="163"/>
      <c r="F109" s="162" t="str">
        <f>IF('INPUT DATA'!T54="","",'INPUT DATA'!T54)</f>
        <v/>
      </c>
      <c r="G109" s="163"/>
      <c r="H109" s="176" t="str">
        <f>IF('INPUT DATA'!S54="","",'INPUT DATA'!S54)</f>
        <v/>
      </c>
      <c r="I109" s="129" t="str">
        <f t="shared" si="4"/>
        <v/>
      </c>
      <c r="J109" s="130"/>
      <c r="K109" s="131"/>
      <c r="L109" s="130"/>
      <c r="M109" s="130"/>
      <c r="N109" s="130"/>
      <c r="O109" s="130"/>
      <c r="P109" s="174"/>
      <c r="Q109" s="174"/>
      <c r="R109" s="174"/>
      <c r="S109" s="174"/>
      <c r="T109" s="122" t="str">
        <f t="shared" si="5"/>
        <v/>
      </c>
      <c r="U109" s="123" t="str">
        <f t="shared" si="6"/>
        <v/>
      </c>
      <c r="V109" s="17"/>
      <c r="W109" s="17"/>
      <c r="X109" s="17"/>
      <c r="Y109" s="17"/>
      <c r="Z109" s="17"/>
      <c r="AA109" s="17"/>
      <c r="AB109" s="17"/>
      <c r="AC109" s="17"/>
      <c r="AD109" s="17"/>
      <c r="AE109" s="17"/>
      <c r="AF109" s="17"/>
    </row>
    <row r="110" ht="15.75" customHeight="1">
      <c r="A110" s="17"/>
      <c r="B110" s="135">
        <v>45.0</v>
      </c>
      <c r="C110" s="170" t="str">
        <f>IF('INPUT DATA'!Q55="","",'INPUT DATA'!Q55)</f>
        <v/>
      </c>
      <c r="D110" s="172"/>
      <c r="E110" s="163"/>
      <c r="F110" s="162" t="str">
        <f>IF('INPUT DATA'!T55="","",'INPUT DATA'!T55)</f>
        <v/>
      </c>
      <c r="G110" s="163"/>
      <c r="H110" s="176" t="str">
        <f>IF('INPUT DATA'!S55="","",'INPUT DATA'!S55)</f>
        <v/>
      </c>
      <c r="I110" s="129" t="str">
        <f t="shared" si="4"/>
        <v/>
      </c>
      <c r="J110" s="130"/>
      <c r="K110" s="136"/>
      <c r="L110" s="137"/>
      <c r="M110" s="137"/>
      <c r="N110" s="137"/>
      <c r="O110" s="137"/>
      <c r="P110" s="178"/>
      <c r="Q110" s="178"/>
      <c r="R110" s="178"/>
      <c r="S110" s="178"/>
      <c r="T110" s="122" t="str">
        <f t="shared" si="5"/>
        <v/>
      </c>
      <c r="U110" s="123" t="str">
        <f t="shared" si="6"/>
        <v/>
      </c>
      <c r="V110" s="17"/>
      <c r="W110" s="17"/>
      <c r="X110" s="17"/>
      <c r="Y110" s="17"/>
      <c r="Z110" s="17"/>
      <c r="AA110" s="17"/>
      <c r="AB110" s="17"/>
      <c r="AC110" s="17"/>
      <c r="AD110" s="17"/>
      <c r="AE110" s="17"/>
      <c r="AF110" s="17"/>
    </row>
    <row r="111" ht="15.75" customHeight="1">
      <c r="A111" s="17"/>
      <c r="B111" s="135">
        <v>46.0</v>
      </c>
      <c r="C111" s="170" t="str">
        <f>IF('INPUT DATA'!Q56="","",'INPUT DATA'!Q56)</f>
        <v/>
      </c>
      <c r="D111" s="172"/>
      <c r="E111" s="163"/>
      <c r="F111" s="162" t="str">
        <f>IF('INPUT DATA'!T56="","",'INPUT DATA'!T56)</f>
        <v/>
      </c>
      <c r="G111" s="163"/>
      <c r="H111" s="176" t="str">
        <f>IF('INPUT DATA'!S56="","",'INPUT DATA'!S56)</f>
        <v/>
      </c>
      <c r="I111" s="129" t="str">
        <f t="shared" si="4"/>
        <v/>
      </c>
      <c r="J111" s="130"/>
      <c r="K111" s="131"/>
      <c r="L111" s="130"/>
      <c r="M111" s="130"/>
      <c r="N111" s="130"/>
      <c r="O111" s="130"/>
      <c r="P111" s="174"/>
      <c r="Q111" s="174"/>
      <c r="R111" s="174"/>
      <c r="S111" s="174"/>
      <c r="T111" s="122" t="str">
        <f t="shared" si="5"/>
        <v/>
      </c>
      <c r="U111" s="123" t="str">
        <f t="shared" si="6"/>
        <v/>
      </c>
      <c r="V111" s="17"/>
      <c r="W111" s="17"/>
      <c r="X111" s="17"/>
      <c r="Y111" s="17"/>
      <c r="Z111" s="17"/>
      <c r="AA111" s="17"/>
      <c r="AB111" s="17"/>
      <c r="AC111" s="17"/>
      <c r="AD111" s="17"/>
      <c r="AE111" s="17"/>
      <c r="AF111" s="17"/>
    </row>
    <row r="112" ht="15.75" customHeight="1">
      <c r="A112" s="17"/>
      <c r="B112" s="135">
        <v>47.0</v>
      </c>
      <c r="C112" s="170" t="str">
        <f>IF('INPUT DATA'!Q57="","",'INPUT DATA'!Q57)</f>
        <v/>
      </c>
      <c r="D112" s="172"/>
      <c r="E112" s="163"/>
      <c r="F112" s="162" t="str">
        <f>IF('INPUT DATA'!T57="","",'INPUT DATA'!T57)</f>
        <v/>
      </c>
      <c r="G112" s="163"/>
      <c r="H112" s="176" t="str">
        <f>IF('INPUT DATA'!S57="","",'INPUT DATA'!S57)</f>
        <v/>
      </c>
      <c r="I112" s="129" t="str">
        <f t="shared" si="4"/>
        <v/>
      </c>
      <c r="J112" s="130"/>
      <c r="K112" s="131"/>
      <c r="L112" s="130"/>
      <c r="M112" s="130"/>
      <c r="N112" s="130"/>
      <c r="O112" s="130"/>
      <c r="P112" s="174"/>
      <c r="Q112" s="174"/>
      <c r="R112" s="174"/>
      <c r="S112" s="174"/>
      <c r="T112" s="122" t="str">
        <f t="shared" si="5"/>
        <v/>
      </c>
      <c r="U112" s="123" t="str">
        <f t="shared" si="6"/>
        <v/>
      </c>
      <c r="V112" s="17"/>
      <c r="W112" s="17"/>
      <c r="X112" s="17"/>
      <c r="Y112" s="17"/>
      <c r="Z112" s="17"/>
      <c r="AA112" s="17"/>
      <c r="AB112" s="17"/>
      <c r="AC112" s="17"/>
      <c r="AD112" s="17"/>
      <c r="AE112" s="17"/>
      <c r="AF112" s="17"/>
    </row>
    <row r="113" ht="15.75" customHeight="1">
      <c r="A113" s="17"/>
      <c r="B113" s="135">
        <v>48.0</v>
      </c>
      <c r="C113" s="170" t="str">
        <f>IF('INPUT DATA'!Q58="","",'INPUT DATA'!Q58)</f>
        <v/>
      </c>
      <c r="D113" s="172"/>
      <c r="E113" s="163"/>
      <c r="F113" s="162" t="str">
        <f>IF('INPUT DATA'!T58="","",'INPUT DATA'!T58)</f>
        <v/>
      </c>
      <c r="G113" s="163"/>
      <c r="H113" s="176" t="str">
        <f>IF('INPUT DATA'!S58="","",'INPUT DATA'!S58)</f>
        <v/>
      </c>
      <c r="I113" s="129" t="str">
        <f t="shared" si="4"/>
        <v/>
      </c>
      <c r="J113" s="130"/>
      <c r="K113" s="131"/>
      <c r="L113" s="130"/>
      <c r="M113" s="130"/>
      <c r="N113" s="130"/>
      <c r="O113" s="130"/>
      <c r="P113" s="174"/>
      <c r="Q113" s="174"/>
      <c r="R113" s="174"/>
      <c r="S113" s="174"/>
      <c r="T113" s="122" t="str">
        <f t="shared" si="5"/>
        <v/>
      </c>
      <c r="U113" s="123" t="str">
        <f t="shared" si="6"/>
        <v/>
      </c>
      <c r="V113" s="17"/>
      <c r="W113" s="17"/>
      <c r="X113" s="17"/>
      <c r="Y113" s="17"/>
      <c r="Z113" s="17"/>
      <c r="AA113" s="17"/>
      <c r="AB113" s="17"/>
      <c r="AC113" s="17"/>
      <c r="AD113" s="17"/>
      <c r="AE113" s="17"/>
      <c r="AF113" s="17"/>
    </row>
    <row r="114" ht="15.75" customHeight="1">
      <c r="A114" s="17"/>
      <c r="B114" s="135">
        <v>49.0</v>
      </c>
      <c r="C114" s="170" t="str">
        <f>IF('INPUT DATA'!Q59="","",'INPUT DATA'!Q59)</f>
        <v/>
      </c>
      <c r="D114" s="172"/>
      <c r="E114" s="163"/>
      <c r="F114" s="162" t="str">
        <f>IF('INPUT DATA'!T59="","",'INPUT DATA'!T59)</f>
        <v/>
      </c>
      <c r="G114" s="163"/>
      <c r="H114" s="176" t="str">
        <f>IF('INPUT DATA'!S59="","",'INPUT DATA'!S59)</f>
        <v/>
      </c>
      <c r="I114" s="129" t="str">
        <f t="shared" si="4"/>
        <v/>
      </c>
      <c r="J114" s="130"/>
      <c r="K114" s="131"/>
      <c r="L114" s="130"/>
      <c r="M114" s="130"/>
      <c r="N114" s="130"/>
      <c r="O114" s="130"/>
      <c r="P114" s="174"/>
      <c r="Q114" s="174"/>
      <c r="R114" s="174"/>
      <c r="S114" s="174"/>
      <c r="T114" s="122" t="str">
        <f t="shared" si="5"/>
        <v/>
      </c>
      <c r="U114" s="123" t="str">
        <f t="shared" si="6"/>
        <v/>
      </c>
      <c r="V114" s="17"/>
      <c r="W114" s="17"/>
      <c r="X114" s="17"/>
      <c r="Y114" s="17"/>
      <c r="Z114" s="17"/>
      <c r="AA114" s="17"/>
      <c r="AB114" s="17"/>
      <c r="AC114" s="17"/>
      <c r="AD114" s="17"/>
      <c r="AE114" s="17"/>
      <c r="AF114" s="17"/>
    </row>
    <row r="115" ht="15.75" customHeight="1">
      <c r="A115" s="17"/>
      <c r="B115" s="138">
        <v>50.0</v>
      </c>
      <c r="C115" s="154" t="str">
        <f>IF('INPUT DATA'!Q60="","",'INPUT DATA'!Q60)</f>
        <v/>
      </c>
      <c r="D115" s="155"/>
      <c r="E115" s="156"/>
      <c r="F115" s="181" t="str">
        <f>IF('INPUT DATA'!T60="","",'INPUT DATA'!T60)</f>
        <v/>
      </c>
      <c r="G115" s="156"/>
      <c r="H115" s="180" t="str">
        <f>IF('INPUT DATA'!S60="","",'INPUT DATA'!S60)</f>
        <v/>
      </c>
      <c r="I115" s="182" t="str">
        <f t="shared" si="4"/>
        <v/>
      </c>
      <c r="J115" s="146"/>
      <c r="K115" s="145"/>
      <c r="L115" s="146"/>
      <c r="M115" s="146"/>
      <c r="N115" s="146"/>
      <c r="O115" s="146"/>
      <c r="P115" s="183"/>
      <c r="Q115" s="183"/>
      <c r="R115" s="183"/>
      <c r="S115" s="183"/>
      <c r="T115" s="184" t="str">
        <f t="shared" si="5"/>
        <v/>
      </c>
      <c r="U115" s="185" t="str">
        <f t="shared" si="6"/>
        <v/>
      </c>
      <c r="V115" s="17"/>
      <c r="W115" s="17"/>
      <c r="X115" s="17"/>
      <c r="Y115" s="17"/>
      <c r="Z115" s="17"/>
      <c r="AA115" s="17"/>
      <c r="AB115" s="17"/>
      <c r="AC115" s="17"/>
      <c r="AD115" s="17"/>
      <c r="AE115" s="17"/>
      <c r="AF115" s="17"/>
    </row>
    <row r="116" ht="15.75" customHeight="1">
      <c r="A116" s="15"/>
      <c r="B116" s="15"/>
      <c r="C116" s="13"/>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15"/>
      <c r="C117" s="13"/>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15"/>
      <c r="C118" s="13"/>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15"/>
      <c r="C119" s="13"/>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15"/>
      <c r="C120" s="13"/>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15"/>
      <c r="C121" s="13"/>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15"/>
      <c r="C122" s="13"/>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15"/>
      <c r="C123" s="13"/>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15"/>
      <c r="C124" s="13"/>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15"/>
      <c r="C125" s="13"/>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15"/>
      <c r="C126" s="13"/>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K5:M5"/>
    <mergeCell ref="E6:G6"/>
    <mergeCell ref="K6:M6"/>
    <mergeCell ref="T6:U6"/>
    <mergeCell ref="B8:U8"/>
    <mergeCell ref="H11:H13"/>
    <mergeCell ref="I11:I13"/>
    <mergeCell ref="B9:E10"/>
    <mergeCell ref="G9:K9"/>
    <mergeCell ref="L9:M10"/>
    <mergeCell ref="G10:K10"/>
    <mergeCell ref="B11:E13"/>
    <mergeCell ref="F11:G13"/>
    <mergeCell ref="J11:J13"/>
    <mergeCell ref="N12:N13"/>
    <mergeCell ref="O12:O13"/>
    <mergeCell ref="N9:U10"/>
    <mergeCell ref="K11:S11"/>
    <mergeCell ref="T11:T13"/>
    <mergeCell ref="U11:U13"/>
    <mergeCell ref="K12:K13"/>
    <mergeCell ref="L12:L13"/>
    <mergeCell ref="M12:M13"/>
    <mergeCell ref="R12:S12"/>
    <mergeCell ref="P12:P13"/>
    <mergeCell ref="Q12:Q13"/>
    <mergeCell ref="B14:U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9" max="10" width="5.13"/>
    <col customWidth="1" min="11" max="11" width="9.0"/>
    <col customWidth="1" min="12" max="12" width="9.38"/>
    <col customWidth="1" min="13" max="13" width="12.75"/>
    <col customWidth="1" min="14" max="14" width="11.38"/>
    <col customWidth="1" min="15" max="18" width="9.5"/>
    <col customWidth="1" min="19" max="19" width="11.88"/>
    <col customWidth="1" min="22" max="22" width="3.88"/>
  </cols>
  <sheetData>
    <row r="1" ht="15.75" customHeight="1">
      <c r="A1" s="10" t="s">
        <v>4</v>
      </c>
      <c r="W1" s="13"/>
      <c r="X1" s="13"/>
      <c r="Y1" s="13"/>
      <c r="Z1" s="13"/>
      <c r="AA1" s="13"/>
      <c r="AB1" s="13"/>
      <c r="AC1" s="13"/>
      <c r="AD1" s="13"/>
      <c r="AE1" s="13"/>
      <c r="AF1" s="13"/>
    </row>
    <row r="2" ht="15.75" customHeight="1">
      <c r="W2" s="13"/>
      <c r="X2" s="13"/>
      <c r="Y2" s="13"/>
      <c r="Z2" s="13"/>
      <c r="AA2" s="13"/>
      <c r="AB2" s="13"/>
      <c r="AC2" s="13"/>
      <c r="AD2" s="13"/>
      <c r="AE2" s="13"/>
      <c r="AF2" s="13"/>
    </row>
    <row r="3" ht="15.75" customHeight="1">
      <c r="W3" s="13"/>
      <c r="X3" s="13"/>
      <c r="Y3" s="13"/>
      <c r="Z3" s="13"/>
      <c r="AA3" s="13"/>
      <c r="AB3" s="13"/>
      <c r="AC3" s="13"/>
      <c r="AD3" s="13"/>
      <c r="AE3" s="13"/>
      <c r="AF3" s="13"/>
    </row>
    <row r="4" ht="15.75" customHeight="1">
      <c r="W4" s="15"/>
      <c r="X4" s="15"/>
      <c r="Y4" s="15"/>
      <c r="Z4" s="15"/>
      <c r="AA4" s="15"/>
      <c r="AB4" s="15"/>
      <c r="AC4" s="15"/>
      <c r="AD4" s="15"/>
      <c r="AE4" s="15"/>
      <c r="AF4" s="15"/>
    </row>
    <row r="5" ht="15.75" customHeight="1">
      <c r="A5" s="17"/>
      <c r="B5" s="19"/>
      <c r="C5" s="20"/>
      <c r="D5" s="21" t="s">
        <v>5</v>
      </c>
      <c r="E5" s="28" t="str">
        <f>'INPUT DATA'!F10</f>
        <v>NCR</v>
      </c>
      <c r="F5" s="29"/>
      <c r="G5" s="30"/>
      <c r="H5" s="31"/>
      <c r="I5" s="21" t="s">
        <v>8</v>
      </c>
      <c r="J5" s="21"/>
      <c r="K5" s="28" t="str">
        <f>'INPUT DATA'!F11</f>
        <v>LAS PINAS</v>
      </c>
      <c r="L5" s="29"/>
      <c r="M5" s="30"/>
      <c r="N5" s="37"/>
      <c r="O5" s="31"/>
      <c r="P5" s="31"/>
      <c r="Q5" s="31"/>
      <c r="R5" s="31"/>
      <c r="S5" s="31"/>
      <c r="T5" s="31"/>
      <c r="U5" s="31"/>
      <c r="V5" s="17"/>
      <c r="W5" s="17"/>
      <c r="X5" s="17"/>
      <c r="Y5" s="17"/>
      <c r="Z5" s="17"/>
      <c r="AA5" s="17"/>
      <c r="AB5" s="17"/>
      <c r="AC5" s="17"/>
      <c r="AD5" s="17"/>
      <c r="AE5" s="17"/>
      <c r="AF5" s="17"/>
    </row>
    <row r="6" ht="15.75" customHeight="1">
      <c r="A6" s="17"/>
      <c r="B6" s="19"/>
      <c r="C6" s="39"/>
      <c r="D6" s="21" t="s">
        <v>13</v>
      </c>
      <c r="E6" s="28" t="str">
        <f>'INPUT DATA'!F16</f>
        <v>LAS PINAS EAST NATIONAL HIGH SCHOOL</v>
      </c>
      <c r="F6" s="29"/>
      <c r="G6" s="30"/>
      <c r="H6" s="31"/>
      <c r="I6" s="21" t="s">
        <v>16</v>
      </c>
      <c r="J6" s="21"/>
      <c r="K6" s="47">
        <f>'INPUT DATA'!F15</f>
        <v>305434</v>
      </c>
      <c r="L6" s="29"/>
      <c r="M6" s="30"/>
      <c r="N6" s="48"/>
      <c r="O6" s="49"/>
      <c r="P6" s="49"/>
      <c r="Q6" s="49"/>
      <c r="R6" s="49"/>
      <c r="S6" s="21" t="s">
        <v>22</v>
      </c>
      <c r="T6" s="47" t="str">
        <f>'INPUT DATA'!F18</f>
        <v>2026-2027</v>
      </c>
      <c r="U6" s="30"/>
      <c r="V6" s="17"/>
      <c r="W6" s="17"/>
      <c r="X6" s="17"/>
      <c r="Y6" s="17"/>
      <c r="Z6" s="17"/>
      <c r="AA6" s="17"/>
      <c r="AB6" s="17"/>
      <c r="AC6" s="17"/>
      <c r="AD6" s="17"/>
      <c r="AE6" s="17"/>
      <c r="AF6" s="17"/>
    </row>
    <row r="7" ht="15.75" customHeight="1">
      <c r="A7" s="15"/>
      <c r="B7" s="53"/>
      <c r="C7" s="54"/>
      <c r="D7" s="54"/>
      <c r="E7" s="15"/>
      <c r="F7" s="15"/>
      <c r="G7" s="57"/>
      <c r="I7" s="15"/>
      <c r="J7" s="15"/>
      <c r="K7" s="15"/>
      <c r="L7" s="54"/>
      <c r="M7" s="15"/>
      <c r="N7" s="15"/>
      <c r="O7" s="54"/>
      <c r="P7" s="54"/>
      <c r="Q7" s="54"/>
      <c r="R7" s="54"/>
      <c r="S7" s="15"/>
      <c r="T7" s="54"/>
      <c r="U7" s="15"/>
      <c r="V7" s="15"/>
      <c r="W7" s="15"/>
      <c r="X7" s="15"/>
      <c r="Y7" s="15"/>
      <c r="Z7" s="15"/>
      <c r="AA7" s="15"/>
      <c r="AB7" s="15"/>
      <c r="AC7" s="15"/>
      <c r="AD7" s="15"/>
      <c r="AE7" s="15"/>
      <c r="AF7" s="15"/>
    </row>
    <row r="8" ht="15.75" customHeight="1">
      <c r="A8" s="15"/>
      <c r="B8" s="61"/>
      <c r="C8" s="29"/>
      <c r="D8" s="29"/>
      <c r="E8" s="29"/>
      <c r="F8" s="29"/>
      <c r="G8" s="29"/>
      <c r="H8" s="29"/>
      <c r="I8" s="29"/>
      <c r="J8" s="29"/>
      <c r="K8" s="29"/>
      <c r="L8" s="29"/>
      <c r="M8" s="29"/>
      <c r="N8" s="29"/>
      <c r="O8" s="29"/>
      <c r="P8" s="29"/>
      <c r="Q8" s="29"/>
      <c r="R8" s="29"/>
      <c r="S8" s="29"/>
      <c r="T8" s="29"/>
      <c r="U8" s="30"/>
      <c r="V8" s="15"/>
      <c r="W8" s="15"/>
      <c r="X8" s="15"/>
      <c r="Y8" s="15"/>
      <c r="Z8" s="15"/>
      <c r="AA8" s="15"/>
      <c r="AB8" s="15"/>
      <c r="AC8" s="15"/>
      <c r="AD8" s="15"/>
      <c r="AE8" s="15"/>
      <c r="AF8" s="15"/>
    </row>
    <row r="9" ht="15.75" customHeight="1">
      <c r="A9" s="13"/>
      <c r="B9" s="65" t="s">
        <v>26</v>
      </c>
      <c r="E9" s="68"/>
      <c r="F9" s="72" t="s">
        <v>25</v>
      </c>
      <c r="G9" s="74">
        <f>'INPUT DATA'!F27</f>
        <v>10</v>
      </c>
      <c r="H9" s="75"/>
      <c r="I9" s="75"/>
      <c r="J9" s="75"/>
      <c r="K9" s="76"/>
      <c r="L9" s="77" t="s">
        <v>30</v>
      </c>
      <c r="M9" s="68"/>
      <c r="N9" s="81" t="str">
        <f>'INPUT DATA'!F26</f>
        <v>ROSALINDA S. VALE</v>
      </c>
      <c r="O9" s="12"/>
      <c r="P9" s="12"/>
      <c r="Q9" s="12"/>
      <c r="R9" s="12"/>
      <c r="S9" s="12"/>
      <c r="T9" s="12"/>
      <c r="U9" s="14"/>
      <c r="V9" s="13"/>
      <c r="W9" s="13"/>
      <c r="X9" s="13"/>
      <c r="Y9" s="13"/>
      <c r="Z9" s="13"/>
      <c r="AA9" s="13"/>
      <c r="AB9" s="13"/>
      <c r="AC9" s="13"/>
      <c r="AD9" s="13"/>
      <c r="AE9" s="13"/>
      <c r="AF9" s="13"/>
    </row>
    <row r="10" ht="15.75" customHeight="1">
      <c r="A10" s="13"/>
      <c r="B10" s="83"/>
      <c r="E10" s="68"/>
      <c r="F10" s="84" t="s">
        <v>31</v>
      </c>
      <c r="G10" s="74" t="str">
        <f>'INPUT DATA'!F28</f>
        <v>PAMAYPAY</v>
      </c>
      <c r="H10" s="75"/>
      <c r="I10" s="75"/>
      <c r="J10" s="75"/>
      <c r="K10" s="76"/>
      <c r="L10" s="85"/>
      <c r="M10" s="76"/>
      <c r="N10" s="85"/>
      <c r="O10" s="75"/>
      <c r="P10" s="75"/>
      <c r="Q10" s="75"/>
      <c r="R10" s="75"/>
      <c r="S10" s="75"/>
      <c r="T10" s="75"/>
      <c r="U10" s="76"/>
      <c r="V10" s="13"/>
      <c r="W10" s="13"/>
      <c r="X10" s="13"/>
      <c r="Y10" s="13"/>
      <c r="Z10" s="13"/>
      <c r="AA10" s="13"/>
      <c r="AB10" s="13"/>
      <c r="AC10" s="13"/>
      <c r="AD10" s="13"/>
      <c r="AE10" s="13"/>
      <c r="AF10" s="13"/>
    </row>
    <row r="11" ht="14.25" customHeight="1">
      <c r="A11" s="15"/>
      <c r="B11" s="86" t="s">
        <v>33</v>
      </c>
      <c r="C11" s="12"/>
      <c r="D11" s="12"/>
      <c r="E11" s="14"/>
      <c r="F11" s="88" t="s">
        <v>10</v>
      </c>
      <c r="G11" s="14"/>
      <c r="H11" s="91" t="s">
        <v>34</v>
      </c>
      <c r="I11" s="91" t="s">
        <v>36</v>
      </c>
      <c r="J11" s="91" t="s">
        <v>37</v>
      </c>
      <c r="K11" s="92" t="s">
        <v>38</v>
      </c>
      <c r="L11" s="75"/>
      <c r="M11" s="75"/>
      <c r="N11" s="75"/>
      <c r="O11" s="75"/>
      <c r="P11" s="75"/>
      <c r="Q11" s="75"/>
      <c r="R11" s="75"/>
      <c r="S11" s="75"/>
      <c r="T11" s="94" t="s">
        <v>39</v>
      </c>
      <c r="U11" s="96" t="s">
        <v>41</v>
      </c>
      <c r="V11" s="37"/>
      <c r="W11" s="15"/>
      <c r="X11" s="15"/>
      <c r="Y11" s="15"/>
      <c r="Z11" s="15"/>
      <c r="AA11" s="15"/>
      <c r="AB11" s="15"/>
      <c r="AC11" s="15"/>
      <c r="AD11" s="15"/>
      <c r="AE11" s="15"/>
      <c r="AF11" s="15"/>
    </row>
    <row r="12" ht="14.25" customHeight="1">
      <c r="A12" s="15"/>
      <c r="B12" s="83"/>
      <c r="E12" s="68"/>
      <c r="F12" s="83"/>
      <c r="G12" s="68"/>
      <c r="H12" s="97"/>
      <c r="I12" s="97"/>
      <c r="J12" s="97"/>
      <c r="K12" s="91" t="s">
        <v>42</v>
      </c>
      <c r="L12" s="91" t="s">
        <v>43</v>
      </c>
      <c r="M12" s="91" t="s">
        <v>45</v>
      </c>
      <c r="N12" s="91" t="s">
        <v>46</v>
      </c>
      <c r="O12" s="91" t="s">
        <v>47</v>
      </c>
      <c r="P12" s="91" t="s">
        <v>48</v>
      </c>
      <c r="Q12" s="91" t="s">
        <v>49</v>
      </c>
      <c r="R12" s="102" t="s">
        <v>50</v>
      </c>
      <c r="S12" s="30"/>
      <c r="T12" s="97"/>
      <c r="U12" s="68"/>
      <c r="V12" s="37"/>
      <c r="W12" s="15"/>
      <c r="X12" s="15"/>
      <c r="Y12" s="15"/>
      <c r="Z12" s="15"/>
      <c r="AA12" s="15"/>
      <c r="AB12" s="15"/>
      <c r="AC12" s="15"/>
      <c r="AD12" s="15"/>
      <c r="AE12" s="15"/>
      <c r="AF12" s="15"/>
    </row>
    <row r="13" ht="15.75" customHeight="1">
      <c r="A13" s="15"/>
      <c r="B13" s="85"/>
      <c r="C13" s="75"/>
      <c r="D13" s="75"/>
      <c r="E13" s="76"/>
      <c r="F13" s="85"/>
      <c r="G13" s="76"/>
      <c r="H13" s="105"/>
      <c r="I13" s="105"/>
      <c r="J13" s="105"/>
      <c r="K13" s="105"/>
      <c r="L13" s="105"/>
      <c r="M13" s="105"/>
      <c r="N13" s="105"/>
      <c r="O13" s="105"/>
      <c r="P13" s="105"/>
      <c r="Q13" s="105"/>
      <c r="R13" s="106" t="s">
        <v>52</v>
      </c>
      <c r="S13" s="107" t="s">
        <v>53</v>
      </c>
      <c r="T13" s="105"/>
      <c r="U13" s="76"/>
      <c r="V13" s="37"/>
      <c r="W13" s="15"/>
      <c r="X13" s="15"/>
      <c r="Y13" s="15"/>
      <c r="Z13" s="15"/>
      <c r="AA13" s="15"/>
      <c r="AB13" s="15"/>
      <c r="AC13" s="15"/>
      <c r="AD13" s="15"/>
      <c r="AE13" s="15"/>
      <c r="AF13" s="15"/>
    </row>
    <row r="14" ht="15.75" customHeight="1">
      <c r="A14" s="17"/>
      <c r="B14" s="111"/>
      <c r="C14" s="29"/>
      <c r="D14" s="29"/>
      <c r="E14" s="29"/>
      <c r="F14" s="29"/>
      <c r="G14" s="29"/>
      <c r="H14" s="29"/>
      <c r="I14" s="29"/>
      <c r="J14" s="29"/>
      <c r="K14" s="29"/>
      <c r="L14" s="29"/>
      <c r="M14" s="29"/>
      <c r="N14" s="29"/>
      <c r="O14" s="29"/>
      <c r="P14" s="29"/>
      <c r="Q14" s="29"/>
      <c r="R14" s="29"/>
      <c r="S14" s="29"/>
      <c r="T14" s="29"/>
      <c r="U14" s="30"/>
      <c r="V14" s="17"/>
      <c r="W14" s="17"/>
      <c r="X14" s="17"/>
      <c r="Y14" s="17"/>
      <c r="Z14" s="17"/>
      <c r="AA14" s="17"/>
      <c r="AB14" s="17"/>
      <c r="AC14" s="17"/>
      <c r="AD14" s="17"/>
      <c r="AE14" s="17"/>
      <c r="AF14" s="17"/>
    </row>
    <row r="15" ht="15.75" customHeight="1">
      <c r="A15" s="17"/>
      <c r="B15" s="112">
        <v>1.0</v>
      </c>
      <c r="C15" s="113" t="str">
        <f>IF('INPUT DATA'!L11="","",'INPUT DATA'!L11)</f>
        <v>A</v>
      </c>
      <c r="D15" s="114"/>
      <c r="E15" s="115"/>
      <c r="F15" s="116">
        <f>IF('INPUT DATA'!M11="","",'INPUT DATA'!M11)</f>
        <v>123456789012</v>
      </c>
      <c r="G15" s="115"/>
      <c r="H15" s="117">
        <f>IF('INPUT DATA'!N11="","",'INPUT DATA'!N11)</f>
        <v>40355</v>
      </c>
      <c r="I15" s="118">
        <f t="shared" ref="I15:I64" si="1">IF(H15="","",DATEDIF(H15,TODAY(),"Y"))</f>
        <v>16</v>
      </c>
      <c r="J15" s="120" t="s">
        <v>54</v>
      </c>
      <c r="K15" s="121">
        <v>91.0</v>
      </c>
      <c r="L15" s="119">
        <v>90.0</v>
      </c>
      <c r="M15" s="119">
        <v>92.0</v>
      </c>
      <c r="N15" s="119">
        <v>90.0</v>
      </c>
      <c r="O15" s="119">
        <v>91.0</v>
      </c>
      <c r="P15" s="119">
        <v>92.0</v>
      </c>
      <c r="Q15" s="119">
        <v>91.0</v>
      </c>
      <c r="R15" s="119">
        <v>92.0</v>
      </c>
      <c r="S15" s="119">
        <v>92.0</v>
      </c>
      <c r="T15" s="122">
        <f t="shared" ref="T15:T64" si="2">IF(COUNT(K15:S15)=0,"",ROUND((K15+L15+M15+N15+O15+S15)/6,0))</f>
        <v>91</v>
      </c>
      <c r="U15" s="123">
        <f t="shared" ref="U15:U64" si="3">IF(T15="","",_xlfn.RANK.AVG(T15,$T$15:$T$115))</f>
        <v>2.5</v>
      </c>
      <c r="V15" s="17"/>
      <c r="W15" s="17"/>
      <c r="X15" s="17"/>
      <c r="Y15" s="17"/>
      <c r="Z15" s="17"/>
      <c r="AA15" s="17"/>
      <c r="AB15" s="17"/>
      <c r="AC15" s="17"/>
      <c r="AD15" s="17"/>
      <c r="AE15" s="17"/>
      <c r="AF15" s="17"/>
    </row>
    <row r="16" ht="15.75" customHeight="1">
      <c r="A16" s="17"/>
      <c r="B16" s="125">
        <v>2.0</v>
      </c>
      <c r="C16" s="113" t="str">
        <f>IF('INPUT DATA'!L12="","",'INPUT DATA'!L12)</f>
        <v>B</v>
      </c>
      <c r="D16" s="114"/>
      <c r="E16" s="115"/>
      <c r="F16" s="116">
        <f>IF('INPUT DATA'!M12="","",'INPUT DATA'!M12)</f>
        <v>2</v>
      </c>
      <c r="G16" s="115"/>
      <c r="H16" s="128">
        <f>IF('INPUT DATA'!N12="","",'INPUT DATA'!N12)</f>
        <v>40574</v>
      </c>
      <c r="I16" s="129">
        <f t="shared" si="1"/>
        <v>15</v>
      </c>
      <c r="J16" s="132" t="s">
        <v>54</v>
      </c>
      <c r="K16" s="131">
        <v>90.0</v>
      </c>
      <c r="L16" s="130">
        <v>93.0</v>
      </c>
      <c r="M16" s="130">
        <v>89.0</v>
      </c>
      <c r="N16" s="130">
        <v>90.0</v>
      </c>
      <c r="O16" s="130">
        <v>88.0</v>
      </c>
      <c r="P16" s="130">
        <v>90.0</v>
      </c>
      <c r="Q16" s="130">
        <v>91.0</v>
      </c>
      <c r="R16" s="130">
        <v>90.0</v>
      </c>
      <c r="S16" s="130">
        <v>90.0</v>
      </c>
      <c r="T16" s="122">
        <f t="shared" si="2"/>
        <v>90</v>
      </c>
      <c r="U16" s="123">
        <f t="shared" si="3"/>
        <v>5</v>
      </c>
      <c r="V16" s="17"/>
      <c r="W16" s="17"/>
      <c r="X16" s="17"/>
      <c r="Y16" s="17"/>
      <c r="Z16" s="17"/>
      <c r="AA16" s="17"/>
      <c r="AB16" s="17"/>
      <c r="AC16" s="17"/>
      <c r="AD16" s="17"/>
      <c r="AE16" s="17"/>
      <c r="AF16" s="17"/>
    </row>
    <row r="17" ht="15.75" customHeight="1">
      <c r="A17" s="17"/>
      <c r="B17" s="125">
        <v>3.0</v>
      </c>
      <c r="C17" s="113" t="str">
        <f>IF('INPUT DATA'!L13="","",'INPUT DATA'!L13)</f>
        <v/>
      </c>
      <c r="D17" s="114"/>
      <c r="E17" s="115"/>
      <c r="F17" s="134" t="str">
        <f>IF('INPUT DATA'!M13="","",'INPUT DATA'!M13)</f>
        <v/>
      </c>
      <c r="G17" s="115"/>
      <c r="H17" s="128" t="str">
        <f>IF('INPUT DATA'!N13="","",'INPUT DATA'!N13)</f>
        <v/>
      </c>
      <c r="I17" s="129" t="str">
        <f t="shared" si="1"/>
        <v/>
      </c>
      <c r="J17" s="132" t="s">
        <v>54</v>
      </c>
      <c r="K17" s="131">
        <v>92.0</v>
      </c>
      <c r="L17" s="130">
        <v>89.0</v>
      </c>
      <c r="M17" s="130">
        <v>87.0</v>
      </c>
      <c r="N17" s="130">
        <v>90.0</v>
      </c>
      <c r="O17" s="130">
        <v>84.0</v>
      </c>
      <c r="P17" s="130">
        <v>86.0</v>
      </c>
      <c r="Q17" s="130">
        <v>91.0</v>
      </c>
      <c r="R17" s="130">
        <v>86.0</v>
      </c>
      <c r="S17" s="130">
        <v>86.0</v>
      </c>
      <c r="T17" s="122">
        <f t="shared" si="2"/>
        <v>88</v>
      </c>
      <c r="U17" s="123">
        <f t="shared" si="3"/>
        <v>6</v>
      </c>
      <c r="V17" s="17"/>
      <c r="W17" s="17"/>
      <c r="X17" s="17"/>
      <c r="Y17" s="17"/>
      <c r="Z17" s="17"/>
      <c r="AA17" s="17"/>
      <c r="AB17" s="17"/>
      <c r="AC17" s="17"/>
      <c r="AD17" s="17"/>
      <c r="AE17" s="17"/>
      <c r="AF17" s="17"/>
    </row>
    <row r="18" ht="15.75" customHeight="1">
      <c r="A18" s="17"/>
      <c r="B18" s="125">
        <v>4.0</v>
      </c>
      <c r="C18" s="113" t="str">
        <f>IF('INPUT DATA'!L14="","",'INPUT DATA'!L14)</f>
        <v/>
      </c>
      <c r="D18" s="114"/>
      <c r="E18" s="115"/>
      <c r="F18" s="134" t="str">
        <f>IF('INPUT DATA'!M14="","",'INPUT DATA'!M14)</f>
        <v/>
      </c>
      <c r="G18" s="115"/>
      <c r="H18" s="128" t="str">
        <f>IF('INPUT DATA'!N14="","",'INPUT DATA'!N14)</f>
        <v/>
      </c>
      <c r="I18" s="129" t="str">
        <f t="shared" si="1"/>
        <v/>
      </c>
      <c r="J18" s="132"/>
      <c r="K18" s="131"/>
      <c r="L18" s="130"/>
      <c r="M18" s="130"/>
      <c r="N18" s="130"/>
      <c r="O18" s="130"/>
      <c r="P18" s="130"/>
      <c r="Q18" s="130"/>
      <c r="R18" s="130"/>
      <c r="S18" s="130"/>
      <c r="T18" s="122" t="str">
        <f t="shared" si="2"/>
        <v/>
      </c>
      <c r="U18" s="123" t="str">
        <f t="shared" si="3"/>
        <v/>
      </c>
      <c r="V18" s="17"/>
      <c r="W18" s="17"/>
      <c r="X18" s="17"/>
      <c r="Y18" s="17"/>
      <c r="Z18" s="17"/>
      <c r="AA18" s="17"/>
      <c r="AB18" s="17"/>
      <c r="AC18" s="17"/>
      <c r="AD18" s="17"/>
      <c r="AE18" s="17"/>
      <c r="AF18" s="17"/>
    </row>
    <row r="19" ht="15.75" customHeight="1">
      <c r="A19" s="17"/>
      <c r="B19" s="125">
        <v>5.0</v>
      </c>
      <c r="C19" s="113" t="str">
        <f>IF('INPUT DATA'!L15="","",'INPUT DATA'!L15)</f>
        <v/>
      </c>
      <c r="D19" s="114"/>
      <c r="E19" s="115"/>
      <c r="F19" s="134" t="str">
        <f>IF('INPUT DATA'!M15="","",'INPUT DATA'!M15)</f>
        <v/>
      </c>
      <c r="G19" s="115"/>
      <c r="H19" s="128" t="str">
        <f>IF('INPUT DATA'!N15="","",'INPUT DATA'!N15)</f>
        <v/>
      </c>
      <c r="I19" s="129" t="str">
        <f t="shared" si="1"/>
        <v/>
      </c>
      <c r="J19" s="132"/>
      <c r="K19" s="131"/>
      <c r="L19" s="130"/>
      <c r="M19" s="130"/>
      <c r="N19" s="130"/>
      <c r="O19" s="130"/>
      <c r="P19" s="130"/>
      <c r="Q19" s="130"/>
      <c r="R19" s="130"/>
      <c r="S19" s="130"/>
      <c r="T19" s="122" t="str">
        <f t="shared" si="2"/>
        <v/>
      </c>
      <c r="U19" s="123" t="str">
        <f t="shared" si="3"/>
        <v/>
      </c>
      <c r="V19" s="17"/>
      <c r="W19" s="17"/>
      <c r="X19" s="17"/>
      <c r="Y19" s="17"/>
      <c r="Z19" s="17"/>
      <c r="AA19" s="17"/>
      <c r="AB19" s="17"/>
      <c r="AC19" s="17"/>
      <c r="AD19" s="17"/>
      <c r="AE19" s="17"/>
      <c r="AF19" s="17"/>
    </row>
    <row r="20" ht="15.75" customHeight="1">
      <c r="A20" s="17"/>
      <c r="B20" s="125">
        <v>6.0</v>
      </c>
      <c r="C20" s="113" t="str">
        <f>IF('INPUT DATA'!L16="","",'INPUT DATA'!L16)</f>
        <v/>
      </c>
      <c r="D20" s="114"/>
      <c r="E20" s="115"/>
      <c r="F20" s="134" t="str">
        <f>IF('INPUT DATA'!M16="","",'INPUT DATA'!M16)</f>
        <v/>
      </c>
      <c r="G20" s="115"/>
      <c r="H20" s="128" t="str">
        <f>IF('INPUT DATA'!N16="","",'INPUT DATA'!N16)</f>
        <v/>
      </c>
      <c r="I20" s="129" t="str">
        <f t="shared" si="1"/>
        <v/>
      </c>
      <c r="J20" s="132"/>
      <c r="K20" s="131"/>
      <c r="L20" s="130"/>
      <c r="M20" s="130"/>
      <c r="N20" s="130"/>
      <c r="O20" s="130"/>
      <c r="P20" s="130"/>
      <c r="Q20" s="130"/>
      <c r="R20" s="130"/>
      <c r="S20" s="130"/>
      <c r="T20" s="122" t="str">
        <f t="shared" si="2"/>
        <v/>
      </c>
      <c r="U20" s="123" t="str">
        <f t="shared" si="3"/>
        <v/>
      </c>
      <c r="V20" s="17"/>
      <c r="W20" s="17"/>
      <c r="X20" s="17"/>
      <c r="Y20" s="17"/>
      <c r="Z20" s="17"/>
      <c r="AA20" s="17"/>
      <c r="AB20" s="17"/>
      <c r="AC20" s="17"/>
      <c r="AD20" s="17"/>
      <c r="AE20" s="17"/>
      <c r="AF20" s="17"/>
    </row>
    <row r="21" ht="15.75" customHeight="1">
      <c r="A21" s="17"/>
      <c r="B21" s="125">
        <v>7.0</v>
      </c>
      <c r="C21" s="113" t="str">
        <f>IF('INPUT DATA'!L17="","",'INPUT DATA'!L17)</f>
        <v/>
      </c>
      <c r="D21" s="114"/>
      <c r="E21" s="115"/>
      <c r="F21" s="134" t="str">
        <f>IF('INPUT DATA'!M17="","",'INPUT DATA'!M17)</f>
        <v/>
      </c>
      <c r="G21" s="115"/>
      <c r="H21" s="128" t="str">
        <f>IF('INPUT DATA'!N17="","",'INPUT DATA'!N17)</f>
        <v/>
      </c>
      <c r="I21" s="129" t="str">
        <f t="shared" si="1"/>
        <v/>
      </c>
      <c r="J21" s="132"/>
      <c r="K21" s="131"/>
      <c r="L21" s="130"/>
      <c r="M21" s="130"/>
      <c r="N21" s="130"/>
      <c r="O21" s="130"/>
      <c r="P21" s="130"/>
      <c r="Q21" s="130"/>
      <c r="R21" s="130"/>
      <c r="S21" s="130"/>
      <c r="T21" s="122" t="str">
        <f t="shared" si="2"/>
        <v/>
      </c>
      <c r="U21" s="123" t="str">
        <f t="shared" si="3"/>
        <v/>
      </c>
      <c r="V21" s="17"/>
      <c r="W21" s="17"/>
      <c r="X21" s="17"/>
      <c r="Y21" s="17"/>
      <c r="Z21" s="17"/>
      <c r="AA21" s="17"/>
      <c r="AB21" s="17"/>
      <c r="AC21" s="17"/>
      <c r="AD21" s="17"/>
      <c r="AE21" s="17"/>
      <c r="AF21" s="17"/>
    </row>
    <row r="22" ht="15.75" customHeight="1">
      <c r="A22" s="17"/>
      <c r="B22" s="125">
        <v>8.0</v>
      </c>
      <c r="C22" s="113" t="str">
        <f>IF('INPUT DATA'!L18="","",'INPUT DATA'!L18)</f>
        <v/>
      </c>
      <c r="D22" s="114"/>
      <c r="E22" s="115"/>
      <c r="F22" s="134" t="str">
        <f>IF('INPUT DATA'!M18="","",'INPUT DATA'!M18)</f>
        <v/>
      </c>
      <c r="G22" s="115"/>
      <c r="H22" s="128" t="str">
        <f>IF('INPUT DATA'!N18="","",'INPUT DATA'!N18)</f>
        <v/>
      </c>
      <c r="I22" s="129" t="str">
        <f t="shared" si="1"/>
        <v/>
      </c>
      <c r="J22" s="132"/>
      <c r="K22" s="131"/>
      <c r="L22" s="130"/>
      <c r="M22" s="130"/>
      <c r="N22" s="130"/>
      <c r="O22" s="130"/>
      <c r="P22" s="130"/>
      <c r="Q22" s="130"/>
      <c r="R22" s="130"/>
      <c r="S22" s="130"/>
      <c r="T22" s="122" t="str">
        <f t="shared" si="2"/>
        <v/>
      </c>
      <c r="U22" s="123" t="str">
        <f t="shared" si="3"/>
        <v/>
      </c>
      <c r="V22" s="17"/>
      <c r="W22" s="17"/>
      <c r="X22" s="17"/>
      <c r="Y22" s="17"/>
      <c r="Z22" s="17"/>
      <c r="AA22" s="17"/>
      <c r="AB22" s="17"/>
      <c r="AC22" s="17"/>
      <c r="AD22" s="17"/>
      <c r="AE22" s="17"/>
      <c r="AF22" s="17"/>
    </row>
    <row r="23" ht="15.75" customHeight="1">
      <c r="A23" s="17"/>
      <c r="B23" s="125">
        <v>9.0</v>
      </c>
      <c r="C23" s="113" t="str">
        <f>IF('INPUT DATA'!L19="","",'INPUT DATA'!L19)</f>
        <v/>
      </c>
      <c r="D23" s="114"/>
      <c r="E23" s="115"/>
      <c r="F23" s="134" t="str">
        <f>IF('INPUT DATA'!M19="","",'INPUT DATA'!M19)</f>
        <v/>
      </c>
      <c r="G23" s="115"/>
      <c r="H23" s="128" t="str">
        <f>IF('INPUT DATA'!N19="","",'INPUT DATA'!N19)</f>
        <v/>
      </c>
      <c r="I23" s="129" t="str">
        <f t="shared" si="1"/>
        <v/>
      </c>
      <c r="J23" s="132"/>
      <c r="K23" s="131"/>
      <c r="L23" s="130"/>
      <c r="M23" s="130"/>
      <c r="N23" s="130"/>
      <c r="O23" s="130"/>
      <c r="P23" s="130"/>
      <c r="Q23" s="130"/>
      <c r="R23" s="130"/>
      <c r="S23" s="130"/>
      <c r="T23" s="122" t="str">
        <f t="shared" si="2"/>
        <v/>
      </c>
      <c r="U23" s="123" t="str">
        <f t="shared" si="3"/>
        <v/>
      </c>
      <c r="V23" s="17"/>
      <c r="W23" s="17"/>
      <c r="X23" s="17"/>
      <c r="Y23" s="17"/>
      <c r="Z23" s="17"/>
      <c r="AA23" s="17"/>
      <c r="AB23" s="17"/>
      <c r="AC23" s="17"/>
      <c r="AD23" s="17"/>
      <c r="AE23" s="17"/>
      <c r="AF23" s="17"/>
    </row>
    <row r="24" ht="15.75" customHeight="1">
      <c r="A24" s="17"/>
      <c r="B24" s="125">
        <v>10.0</v>
      </c>
      <c r="C24" s="113" t="str">
        <f>IF('INPUT DATA'!L20="","",'INPUT DATA'!L20)</f>
        <v/>
      </c>
      <c r="D24" s="114"/>
      <c r="E24" s="115"/>
      <c r="F24" s="134" t="str">
        <f>IF('INPUT DATA'!M20="","",'INPUT DATA'!M20)</f>
        <v/>
      </c>
      <c r="G24" s="115"/>
      <c r="H24" s="128" t="str">
        <f>IF('INPUT DATA'!N20="","",'INPUT DATA'!N20)</f>
        <v/>
      </c>
      <c r="I24" s="129" t="str">
        <f t="shared" si="1"/>
        <v/>
      </c>
      <c r="J24" s="132"/>
      <c r="K24" s="131"/>
      <c r="L24" s="130"/>
      <c r="M24" s="130"/>
      <c r="N24" s="130"/>
      <c r="O24" s="130"/>
      <c r="P24" s="130"/>
      <c r="Q24" s="130"/>
      <c r="R24" s="130"/>
      <c r="S24" s="130"/>
      <c r="T24" s="122" t="str">
        <f t="shared" si="2"/>
        <v/>
      </c>
      <c r="U24" s="123" t="str">
        <f t="shared" si="3"/>
        <v/>
      </c>
      <c r="V24" s="17"/>
      <c r="W24" s="17"/>
      <c r="X24" s="17"/>
      <c r="Y24" s="17"/>
      <c r="Z24" s="17"/>
      <c r="AA24" s="17"/>
      <c r="AB24" s="17"/>
      <c r="AC24" s="17"/>
      <c r="AD24" s="17"/>
      <c r="AE24" s="17"/>
      <c r="AF24" s="17"/>
    </row>
    <row r="25" ht="15.75" customHeight="1">
      <c r="A25" s="17"/>
      <c r="B25" s="125">
        <v>11.0</v>
      </c>
      <c r="C25" s="113" t="str">
        <f>IF('INPUT DATA'!L21="","",'INPUT DATA'!L21)</f>
        <v/>
      </c>
      <c r="D25" s="114"/>
      <c r="E25" s="115"/>
      <c r="F25" s="134" t="str">
        <f>IF('INPUT DATA'!M21="","",'INPUT DATA'!M21)</f>
        <v/>
      </c>
      <c r="G25" s="115"/>
      <c r="H25" s="128" t="str">
        <f>IF('INPUT DATA'!N21="","",'INPUT DATA'!N21)</f>
        <v/>
      </c>
      <c r="I25" s="129" t="str">
        <f t="shared" si="1"/>
        <v/>
      </c>
      <c r="J25" s="132"/>
      <c r="K25" s="131"/>
      <c r="L25" s="130"/>
      <c r="M25" s="130"/>
      <c r="N25" s="130"/>
      <c r="O25" s="130"/>
      <c r="P25" s="130"/>
      <c r="Q25" s="130"/>
      <c r="R25" s="130"/>
      <c r="S25" s="130"/>
      <c r="T25" s="122" t="str">
        <f t="shared" si="2"/>
        <v/>
      </c>
      <c r="U25" s="123" t="str">
        <f t="shared" si="3"/>
        <v/>
      </c>
      <c r="V25" s="17"/>
      <c r="W25" s="17"/>
      <c r="X25" s="17"/>
      <c r="Y25" s="17"/>
      <c r="Z25" s="17"/>
      <c r="AA25" s="17"/>
      <c r="AB25" s="17"/>
      <c r="AC25" s="17"/>
      <c r="AD25" s="17"/>
      <c r="AE25" s="17"/>
      <c r="AF25" s="17"/>
    </row>
    <row r="26" ht="15.75" customHeight="1">
      <c r="A26" s="17"/>
      <c r="B26" s="125">
        <v>12.0</v>
      </c>
      <c r="C26" s="113" t="str">
        <f>IF('INPUT DATA'!L22="","",'INPUT DATA'!L22)</f>
        <v/>
      </c>
      <c r="D26" s="114"/>
      <c r="E26" s="115"/>
      <c r="F26" s="134" t="str">
        <f>IF('INPUT DATA'!M22="","",'INPUT DATA'!M22)</f>
        <v/>
      </c>
      <c r="G26" s="115"/>
      <c r="H26" s="128" t="str">
        <f>IF('INPUT DATA'!N22="","",'INPUT DATA'!N22)</f>
        <v/>
      </c>
      <c r="I26" s="129" t="str">
        <f t="shared" si="1"/>
        <v/>
      </c>
      <c r="J26" s="132"/>
      <c r="K26" s="131"/>
      <c r="L26" s="130"/>
      <c r="M26" s="130"/>
      <c r="N26" s="130"/>
      <c r="O26" s="130"/>
      <c r="P26" s="130"/>
      <c r="Q26" s="130"/>
      <c r="R26" s="130"/>
      <c r="S26" s="130"/>
      <c r="T26" s="122" t="str">
        <f t="shared" si="2"/>
        <v/>
      </c>
      <c r="U26" s="123" t="str">
        <f t="shared" si="3"/>
        <v/>
      </c>
      <c r="V26" s="17"/>
      <c r="W26" s="17"/>
      <c r="X26" s="17"/>
      <c r="Y26" s="17"/>
      <c r="Z26" s="17"/>
      <c r="AA26" s="17"/>
      <c r="AB26" s="17"/>
      <c r="AC26" s="17"/>
      <c r="AD26" s="17"/>
      <c r="AE26" s="17"/>
      <c r="AF26" s="17"/>
    </row>
    <row r="27" ht="15.75" customHeight="1">
      <c r="A27" s="17"/>
      <c r="B27" s="125">
        <v>13.0</v>
      </c>
      <c r="C27" s="113" t="str">
        <f>IF('INPUT DATA'!L23="","",'INPUT DATA'!L23)</f>
        <v/>
      </c>
      <c r="D27" s="114"/>
      <c r="E27" s="115"/>
      <c r="F27" s="134" t="str">
        <f>IF('INPUT DATA'!M23="","",'INPUT DATA'!M23)</f>
        <v/>
      </c>
      <c r="G27" s="115"/>
      <c r="H27" s="128" t="str">
        <f>IF('INPUT DATA'!N23="","",'INPUT DATA'!N23)</f>
        <v/>
      </c>
      <c r="I27" s="129" t="str">
        <f t="shared" si="1"/>
        <v/>
      </c>
      <c r="J27" s="132"/>
      <c r="K27" s="131"/>
      <c r="L27" s="130"/>
      <c r="M27" s="130"/>
      <c r="N27" s="130"/>
      <c r="O27" s="130"/>
      <c r="P27" s="130"/>
      <c r="Q27" s="130"/>
      <c r="R27" s="130"/>
      <c r="S27" s="130"/>
      <c r="T27" s="122" t="str">
        <f t="shared" si="2"/>
        <v/>
      </c>
      <c r="U27" s="123" t="str">
        <f t="shared" si="3"/>
        <v/>
      </c>
      <c r="V27" s="17"/>
      <c r="W27" s="17"/>
      <c r="X27" s="17"/>
      <c r="Y27" s="17"/>
      <c r="Z27" s="17"/>
      <c r="AA27" s="17"/>
      <c r="AB27" s="17"/>
      <c r="AC27" s="17"/>
      <c r="AD27" s="17"/>
      <c r="AE27" s="17"/>
      <c r="AF27" s="17"/>
    </row>
    <row r="28" ht="15.75" customHeight="1">
      <c r="A28" s="17"/>
      <c r="B28" s="125">
        <v>14.0</v>
      </c>
      <c r="C28" s="113" t="str">
        <f>IF('INPUT DATA'!L24="","",'INPUT DATA'!L24)</f>
        <v/>
      </c>
      <c r="D28" s="114"/>
      <c r="E28" s="115"/>
      <c r="F28" s="134" t="str">
        <f>IF('INPUT DATA'!M24="","",'INPUT DATA'!M24)</f>
        <v/>
      </c>
      <c r="G28" s="115"/>
      <c r="H28" s="128" t="str">
        <f>IF('INPUT DATA'!N24="","",'INPUT DATA'!N24)</f>
        <v/>
      </c>
      <c r="I28" s="129" t="str">
        <f t="shared" si="1"/>
        <v/>
      </c>
      <c r="J28" s="132"/>
      <c r="K28" s="131"/>
      <c r="L28" s="130"/>
      <c r="M28" s="130"/>
      <c r="N28" s="130"/>
      <c r="O28" s="130"/>
      <c r="P28" s="130"/>
      <c r="Q28" s="130"/>
      <c r="R28" s="130"/>
      <c r="S28" s="130"/>
      <c r="T28" s="122" t="str">
        <f t="shared" si="2"/>
        <v/>
      </c>
      <c r="U28" s="123" t="str">
        <f t="shared" si="3"/>
        <v/>
      </c>
      <c r="V28" s="17"/>
      <c r="W28" s="17"/>
      <c r="X28" s="17"/>
      <c r="Y28" s="17"/>
      <c r="Z28" s="17"/>
      <c r="AA28" s="17"/>
      <c r="AB28" s="17"/>
      <c r="AC28" s="17"/>
      <c r="AD28" s="17"/>
      <c r="AE28" s="17"/>
      <c r="AF28" s="17"/>
    </row>
    <row r="29" ht="15.75" customHeight="1">
      <c r="A29" s="17"/>
      <c r="B29" s="125">
        <v>15.0</v>
      </c>
      <c r="C29" s="113" t="str">
        <f>IF('INPUT DATA'!L25="","",'INPUT DATA'!L25)</f>
        <v/>
      </c>
      <c r="D29" s="114"/>
      <c r="E29" s="115"/>
      <c r="F29" s="134" t="str">
        <f>IF('INPUT DATA'!M25="","",'INPUT DATA'!M25)</f>
        <v/>
      </c>
      <c r="G29" s="115"/>
      <c r="H29" s="128" t="str">
        <f>IF('INPUT DATA'!N25="","",'INPUT DATA'!N25)</f>
        <v/>
      </c>
      <c r="I29" s="129" t="str">
        <f t="shared" si="1"/>
        <v/>
      </c>
      <c r="J29" s="132"/>
      <c r="K29" s="131"/>
      <c r="L29" s="130"/>
      <c r="M29" s="130"/>
      <c r="N29" s="130"/>
      <c r="O29" s="130"/>
      <c r="P29" s="130"/>
      <c r="Q29" s="130"/>
      <c r="R29" s="130"/>
      <c r="S29" s="130"/>
      <c r="T29" s="122" t="str">
        <f t="shared" si="2"/>
        <v/>
      </c>
      <c r="U29" s="123" t="str">
        <f t="shared" si="3"/>
        <v/>
      </c>
      <c r="V29" s="17"/>
      <c r="W29" s="17"/>
      <c r="X29" s="17"/>
      <c r="Y29" s="17"/>
      <c r="Z29" s="17"/>
      <c r="AA29" s="17"/>
      <c r="AB29" s="17"/>
      <c r="AC29" s="17"/>
      <c r="AD29" s="17"/>
      <c r="AE29" s="17"/>
      <c r="AF29" s="17"/>
    </row>
    <row r="30" ht="15.75" customHeight="1">
      <c r="A30" s="17"/>
      <c r="B30" s="125">
        <v>16.0</v>
      </c>
      <c r="C30" s="113" t="str">
        <f>IF('INPUT DATA'!L26="","",'INPUT DATA'!L26)</f>
        <v/>
      </c>
      <c r="D30" s="114"/>
      <c r="E30" s="115"/>
      <c r="F30" s="134" t="str">
        <f>IF('INPUT DATA'!M26="","",'INPUT DATA'!M26)</f>
        <v/>
      </c>
      <c r="G30" s="115"/>
      <c r="H30" s="128" t="str">
        <f>IF('INPUT DATA'!N26="","",'INPUT DATA'!N26)</f>
        <v/>
      </c>
      <c r="I30" s="129" t="str">
        <f t="shared" si="1"/>
        <v/>
      </c>
      <c r="J30" s="132"/>
      <c r="K30" s="131"/>
      <c r="L30" s="130"/>
      <c r="M30" s="130"/>
      <c r="N30" s="130"/>
      <c r="O30" s="130"/>
      <c r="P30" s="130"/>
      <c r="Q30" s="130"/>
      <c r="R30" s="130"/>
      <c r="S30" s="130"/>
      <c r="T30" s="122" t="str">
        <f t="shared" si="2"/>
        <v/>
      </c>
      <c r="U30" s="123" t="str">
        <f t="shared" si="3"/>
        <v/>
      </c>
      <c r="V30" s="17"/>
      <c r="W30" s="17"/>
      <c r="X30" s="17"/>
      <c r="Y30" s="17"/>
      <c r="Z30" s="17"/>
      <c r="AA30" s="17"/>
      <c r="AB30" s="17"/>
      <c r="AC30" s="17"/>
      <c r="AD30" s="17"/>
      <c r="AE30" s="17"/>
      <c r="AF30" s="17"/>
    </row>
    <row r="31" ht="15.75" customHeight="1">
      <c r="A31" s="17"/>
      <c r="B31" s="125">
        <v>17.0</v>
      </c>
      <c r="C31" s="113" t="str">
        <f>IF('INPUT DATA'!L27="","",'INPUT DATA'!L27)</f>
        <v/>
      </c>
      <c r="D31" s="114"/>
      <c r="E31" s="115"/>
      <c r="F31" s="134" t="str">
        <f>IF('INPUT DATA'!M27="","",'INPUT DATA'!M27)</f>
        <v/>
      </c>
      <c r="G31" s="115"/>
      <c r="H31" s="128" t="str">
        <f>IF('INPUT DATA'!N27="","",'INPUT DATA'!N27)</f>
        <v/>
      </c>
      <c r="I31" s="129" t="str">
        <f t="shared" si="1"/>
        <v/>
      </c>
      <c r="J31" s="132"/>
      <c r="K31" s="131"/>
      <c r="L31" s="130"/>
      <c r="M31" s="130"/>
      <c r="N31" s="130"/>
      <c r="O31" s="130"/>
      <c r="P31" s="130"/>
      <c r="Q31" s="130"/>
      <c r="R31" s="130"/>
      <c r="S31" s="130"/>
      <c r="T31" s="122" t="str">
        <f t="shared" si="2"/>
        <v/>
      </c>
      <c r="U31" s="123" t="str">
        <f t="shared" si="3"/>
        <v/>
      </c>
      <c r="V31" s="17"/>
      <c r="W31" s="17"/>
      <c r="X31" s="17"/>
      <c r="Y31" s="17"/>
      <c r="Z31" s="17"/>
      <c r="AA31" s="17"/>
      <c r="AB31" s="17"/>
      <c r="AC31" s="17"/>
      <c r="AD31" s="17"/>
      <c r="AE31" s="17"/>
      <c r="AF31" s="17"/>
    </row>
    <row r="32" ht="15.75" customHeight="1">
      <c r="A32" s="17"/>
      <c r="B32" s="125">
        <v>18.0</v>
      </c>
      <c r="C32" s="113" t="str">
        <f>IF('INPUT DATA'!L28="","",'INPUT DATA'!L28)</f>
        <v/>
      </c>
      <c r="D32" s="114"/>
      <c r="E32" s="115"/>
      <c r="F32" s="134" t="str">
        <f>IF('INPUT DATA'!M28="","",'INPUT DATA'!M28)</f>
        <v/>
      </c>
      <c r="G32" s="115"/>
      <c r="H32" s="128" t="str">
        <f>IF('INPUT DATA'!N28="","",'INPUT DATA'!N28)</f>
        <v/>
      </c>
      <c r="I32" s="129" t="str">
        <f t="shared" si="1"/>
        <v/>
      </c>
      <c r="J32" s="132"/>
      <c r="K32" s="131"/>
      <c r="L32" s="130"/>
      <c r="M32" s="130"/>
      <c r="N32" s="130"/>
      <c r="O32" s="130"/>
      <c r="P32" s="130"/>
      <c r="Q32" s="130"/>
      <c r="R32" s="130"/>
      <c r="S32" s="130"/>
      <c r="T32" s="122" t="str">
        <f t="shared" si="2"/>
        <v/>
      </c>
      <c r="U32" s="123" t="str">
        <f t="shared" si="3"/>
        <v/>
      </c>
      <c r="V32" s="17"/>
      <c r="W32" s="17"/>
      <c r="X32" s="17"/>
      <c r="Y32" s="17"/>
      <c r="Z32" s="17"/>
      <c r="AA32" s="17"/>
      <c r="AB32" s="17"/>
      <c r="AC32" s="17"/>
      <c r="AD32" s="17"/>
      <c r="AE32" s="17"/>
      <c r="AF32" s="17"/>
    </row>
    <row r="33" ht="15.75" customHeight="1">
      <c r="A33" s="17"/>
      <c r="B33" s="125">
        <v>19.0</v>
      </c>
      <c r="C33" s="113" t="str">
        <f>IF('INPUT DATA'!L29="","",'INPUT DATA'!L29)</f>
        <v/>
      </c>
      <c r="D33" s="114"/>
      <c r="E33" s="115"/>
      <c r="F33" s="134" t="str">
        <f>IF('INPUT DATA'!M29="","",'INPUT DATA'!M29)</f>
        <v/>
      </c>
      <c r="G33" s="115"/>
      <c r="H33" s="128" t="str">
        <f>IF('INPUT DATA'!N29="","",'INPUT DATA'!N29)</f>
        <v/>
      </c>
      <c r="I33" s="129" t="str">
        <f t="shared" si="1"/>
        <v/>
      </c>
      <c r="J33" s="132"/>
      <c r="K33" s="131"/>
      <c r="L33" s="130"/>
      <c r="M33" s="130"/>
      <c r="N33" s="130"/>
      <c r="O33" s="130"/>
      <c r="P33" s="130"/>
      <c r="Q33" s="130"/>
      <c r="R33" s="130"/>
      <c r="S33" s="130"/>
      <c r="T33" s="122" t="str">
        <f t="shared" si="2"/>
        <v/>
      </c>
      <c r="U33" s="123" t="str">
        <f t="shared" si="3"/>
        <v/>
      </c>
      <c r="V33" s="17"/>
      <c r="W33" s="17"/>
      <c r="X33" s="17"/>
      <c r="Y33" s="17"/>
      <c r="Z33" s="17"/>
      <c r="AA33" s="17"/>
      <c r="AB33" s="17"/>
      <c r="AC33" s="17"/>
      <c r="AD33" s="17"/>
      <c r="AE33" s="17"/>
      <c r="AF33" s="17"/>
    </row>
    <row r="34" ht="15.75" customHeight="1">
      <c r="A34" s="17"/>
      <c r="B34" s="135">
        <v>20.0</v>
      </c>
      <c r="C34" s="113" t="str">
        <f>IF('INPUT DATA'!L30="","",'INPUT DATA'!L30)</f>
        <v/>
      </c>
      <c r="D34" s="114"/>
      <c r="E34" s="115"/>
      <c r="F34" s="134" t="str">
        <f>IF('INPUT DATA'!M30="","",'INPUT DATA'!M30)</f>
        <v/>
      </c>
      <c r="G34" s="115"/>
      <c r="H34" s="128" t="str">
        <f>IF('INPUT DATA'!N30="","",'INPUT DATA'!N30)</f>
        <v/>
      </c>
      <c r="I34" s="129" t="str">
        <f t="shared" si="1"/>
        <v/>
      </c>
      <c r="J34" s="132"/>
      <c r="K34" s="136"/>
      <c r="L34" s="137"/>
      <c r="M34" s="137"/>
      <c r="N34" s="137"/>
      <c r="O34" s="137"/>
      <c r="P34" s="137"/>
      <c r="Q34" s="137"/>
      <c r="R34" s="137"/>
      <c r="S34" s="137"/>
      <c r="T34" s="122" t="str">
        <f t="shared" si="2"/>
        <v/>
      </c>
      <c r="U34" s="123" t="str">
        <f t="shared" si="3"/>
        <v/>
      </c>
      <c r="V34" s="17"/>
      <c r="W34" s="17"/>
      <c r="X34" s="17"/>
      <c r="Y34" s="17"/>
      <c r="Z34" s="17"/>
      <c r="AA34" s="17"/>
      <c r="AB34" s="17"/>
      <c r="AC34" s="17"/>
      <c r="AD34" s="17"/>
      <c r="AE34" s="17"/>
      <c r="AF34" s="17"/>
    </row>
    <row r="35" ht="15.75" customHeight="1">
      <c r="A35" s="17"/>
      <c r="B35" s="135">
        <v>21.0</v>
      </c>
      <c r="C35" s="113" t="str">
        <f>IF('INPUT DATA'!L31="","",'INPUT DATA'!L31)</f>
        <v/>
      </c>
      <c r="D35" s="114"/>
      <c r="E35" s="115"/>
      <c r="F35" s="134" t="str">
        <f>IF('INPUT DATA'!M31="","",'INPUT DATA'!M31)</f>
        <v/>
      </c>
      <c r="G35" s="115"/>
      <c r="H35" s="128" t="str">
        <f>IF('INPUT DATA'!N31="","",'INPUT DATA'!N31)</f>
        <v/>
      </c>
      <c r="I35" s="129" t="str">
        <f t="shared" si="1"/>
        <v/>
      </c>
      <c r="J35" s="132"/>
      <c r="K35" s="131"/>
      <c r="L35" s="130"/>
      <c r="M35" s="130"/>
      <c r="N35" s="130"/>
      <c r="O35" s="130"/>
      <c r="P35" s="130"/>
      <c r="Q35" s="130"/>
      <c r="R35" s="130"/>
      <c r="S35" s="130"/>
      <c r="T35" s="122" t="str">
        <f t="shared" si="2"/>
        <v/>
      </c>
      <c r="U35" s="123" t="str">
        <f t="shared" si="3"/>
        <v/>
      </c>
      <c r="V35" s="17"/>
      <c r="W35" s="17"/>
      <c r="X35" s="17"/>
      <c r="Y35" s="17"/>
      <c r="Z35" s="17"/>
      <c r="AA35" s="17"/>
      <c r="AB35" s="17"/>
      <c r="AC35" s="17"/>
      <c r="AD35" s="17"/>
      <c r="AE35" s="17"/>
      <c r="AF35" s="17"/>
    </row>
    <row r="36" ht="15.75" customHeight="1">
      <c r="A36" s="17"/>
      <c r="B36" s="135">
        <v>22.0</v>
      </c>
      <c r="C36" s="113" t="str">
        <f>IF('INPUT DATA'!L32="","",'INPUT DATA'!L32)</f>
        <v/>
      </c>
      <c r="D36" s="114"/>
      <c r="E36" s="115"/>
      <c r="F36" s="134" t="str">
        <f>IF('INPUT DATA'!M32="","",'INPUT DATA'!M32)</f>
        <v/>
      </c>
      <c r="G36" s="115"/>
      <c r="H36" s="128" t="str">
        <f>IF('INPUT DATA'!N32="","",'INPUT DATA'!N32)</f>
        <v/>
      </c>
      <c r="I36" s="129" t="str">
        <f t="shared" si="1"/>
        <v/>
      </c>
      <c r="J36" s="132"/>
      <c r="K36" s="131"/>
      <c r="L36" s="130"/>
      <c r="M36" s="130"/>
      <c r="N36" s="130"/>
      <c r="O36" s="130"/>
      <c r="P36" s="130"/>
      <c r="Q36" s="130"/>
      <c r="R36" s="130"/>
      <c r="S36" s="130"/>
      <c r="T36" s="122" t="str">
        <f t="shared" si="2"/>
        <v/>
      </c>
      <c r="U36" s="123" t="str">
        <f t="shared" si="3"/>
        <v/>
      </c>
      <c r="V36" s="17"/>
      <c r="W36" s="17"/>
      <c r="X36" s="17"/>
      <c r="Y36" s="17"/>
      <c r="Z36" s="17"/>
      <c r="AA36" s="17"/>
      <c r="AB36" s="17"/>
      <c r="AC36" s="17"/>
      <c r="AD36" s="17"/>
      <c r="AE36" s="17"/>
      <c r="AF36" s="17"/>
    </row>
    <row r="37" ht="15.75" customHeight="1">
      <c r="A37" s="17"/>
      <c r="B37" s="135">
        <v>23.0</v>
      </c>
      <c r="C37" s="113" t="str">
        <f>IF('INPUT DATA'!L33="","",'INPUT DATA'!L33)</f>
        <v/>
      </c>
      <c r="D37" s="114"/>
      <c r="E37" s="115"/>
      <c r="F37" s="134" t="str">
        <f>IF('INPUT DATA'!M33="","",'INPUT DATA'!M33)</f>
        <v/>
      </c>
      <c r="G37" s="115"/>
      <c r="H37" s="128" t="str">
        <f>IF('INPUT DATA'!N33="","",'INPUT DATA'!N33)</f>
        <v/>
      </c>
      <c r="I37" s="129" t="str">
        <f t="shared" si="1"/>
        <v/>
      </c>
      <c r="J37" s="132"/>
      <c r="K37" s="131"/>
      <c r="L37" s="130"/>
      <c r="M37" s="130"/>
      <c r="N37" s="130"/>
      <c r="O37" s="130"/>
      <c r="P37" s="130"/>
      <c r="Q37" s="130"/>
      <c r="R37" s="130"/>
      <c r="S37" s="130"/>
      <c r="T37" s="122" t="str">
        <f t="shared" si="2"/>
        <v/>
      </c>
      <c r="U37" s="123" t="str">
        <f t="shared" si="3"/>
        <v/>
      </c>
      <c r="V37" s="17"/>
      <c r="W37" s="17"/>
      <c r="X37" s="17"/>
      <c r="Y37" s="17"/>
      <c r="Z37" s="17"/>
      <c r="AA37" s="17"/>
      <c r="AB37" s="17"/>
      <c r="AC37" s="17"/>
      <c r="AD37" s="17"/>
      <c r="AE37" s="17"/>
      <c r="AF37" s="17"/>
    </row>
    <row r="38" ht="15.75" customHeight="1">
      <c r="A38" s="17"/>
      <c r="B38" s="135">
        <v>24.0</v>
      </c>
      <c r="C38" s="113" t="str">
        <f>IF('INPUT DATA'!L34="","",'INPUT DATA'!L34)</f>
        <v/>
      </c>
      <c r="D38" s="114"/>
      <c r="E38" s="115"/>
      <c r="F38" s="134" t="str">
        <f>IF('INPUT DATA'!M34="","",'INPUT DATA'!M34)</f>
        <v/>
      </c>
      <c r="G38" s="115"/>
      <c r="H38" s="128" t="str">
        <f>IF('INPUT DATA'!N34="","",'INPUT DATA'!N34)</f>
        <v/>
      </c>
      <c r="I38" s="129" t="str">
        <f t="shared" si="1"/>
        <v/>
      </c>
      <c r="J38" s="132"/>
      <c r="K38" s="131"/>
      <c r="L38" s="130"/>
      <c r="M38" s="130"/>
      <c r="N38" s="130"/>
      <c r="O38" s="130"/>
      <c r="P38" s="130"/>
      <c r="Q38" s="130"/>
      <c r="R38" s="130"/>
      <c r="S38" s="130"/>
      <c r="T38" s="122" t="str">
        <f t="shared" si="2"/>
        <v/>
      </c>
      <c r="U38" s="123" t="str">
        <f t="shared" si="3"/>
        <v/>
      </c>
      <c r="V38" s="17"/>
      <c r="W38" s="17"/>
      <c r="X38" s="17"/>
      <c r="Y38" s="17"/>
      <c r="Z38" s="17"/>
      <c r="AA38" s="17"/>
      <c r="AB38" s="17"/>
      <c r="AC38" s="17"/>
      <c r="AD38" s="17"/>
      <c r="AE38" s="17"/>
      <c r="AF38" s="17"/>
    </row>
    <row r="39" ht="15.75" customHeight="1">
      <c r="A39" s="17"/>
      <c r="B39" s="135">
        <v>25.0</v>
      </c>
      <c r="C39" s="113" t="str">
        <f>IF('INPUT DATA'!L35="","",'INPUT DATA'!L35)</f>
        <v/>
      </c>
      <c r="D39" s="114"/>
      <c r="E39" s="115"/>
      <c r="F39" s="134" t="str">
        <f>IF('INPUT DATA'!M35="","",'INPUT DATA'!M35)</f>
        <v/>
      </c>
      <c r="G39" s="115"/>
      <c r="H39" s="128" t="str">
        <f>IF('INPUT DATA'!N35="","",'INPUT DATA'!N35)</f>
        <v/>
      </c>
      <c r="I39" s="129" t="str">
        <f t="shared" si="1"/>
        <v/>
      </c>
      <c r="J39" s="132"/>
      <c r="K39" s="131"/>
      <c r="L39" s="130"/>
      <c r="M39" s="130"/>
      <c r="N39" s="130"/>
      <c r="O39" s="130"/>
      <c r="P39" s="130"/>
      <c r="Q39" s="130"/>
      <c r="R39" s="130"/>
      <c r="S39" s="130"/>
      <c r="T39" s="122" t="str">
        <f t="shared" si="2"/>
        <v/>
      </c>
      <c r="U39" s="123" t="str">
        <f t="shared" si="3"/>
        <v/>
      </c>
      <c r="V39" s="17"/>
      <c r="W39" s="17"/>
      <c r="X39" s="17"/>
      <c r="Y39" s="17"/>
      <c r="Z39" s="17"/>
      <c r="AA39" s="17"/>
      <c r="AB39" s="17"/>
      <c r="AC39" s="17"/>
      <c r="AD39" s="17"/>
      <c r="AE39" s="17"/>
      <c r="AF39" s="17"/>
    </row>
    <row r="40" ht="15.75" customHeight="1">
      <c r="A40" s="17"/>
      <c r="B40" s="135">
        <v>26.0</v>
      </c>
      <c r="C40" s="113" t="str">
        <f>IF('INPUT DATA'!L36="","",'INPUT DATA'!L36)</f>
        <v/>
      </c>
      <c r="D40" s="114"/>
      <c r="E40" s="115"/>
      <c r="F40" s="134" t="str">
        <f>IF('INPUT DATA'!M36="","",'INPUT DATA'!M36)</f>
        <v/>
      </c>
      <c r="G40" s="115"/>
      <c r="H40" s="128" t="str">
        <f>IF('INPUT DATA'!N36="","",'INPUT DATA'!N36)</f>
        <v/>
      </c>
      <c r="I40" s="129" t="str">
        <f t="shared" si="1"/>
        <v/>
      </c>
      <c r="J40" s="132"/>
      <c r="K40" s="131"/>
      <c r="L40" s="130"/>
      <c r="M40" s="130"/>
      <c r="N40" s="130"/>
      <c r="O40" s="130"/>
      <c r="P40" s="130"/>
      <c r="Q40" s="130"/>
      <c r="R40" s="130"/>
      <c r="S40" s="130"/>
      <c r="T40" s="122" t="str">
        <f t="shared" si="2"/>
        <v/>
      </c>
      <c r="U40" s="123" t="str">
        <f t="shared" si="3"/>
        <v/>
      </c>
      <c r="V40" s="17"/>
      <c r="W40" s="17"/>
      <c r="X40" s="17"/>
      <c r="Y40" s="17"/>
      <c r="Z40" s="17"/>
      <c r="AA40" s="17"/>
      <c r="AB40" s="17"/>
      <c r="AC40" s="17"/>
      <c r="AD40" s="17"/>
      <c r="AE40" s="17"/>
      <c r="AF40" s="17"/>
    </row>
    <row r="41" ht="15.75" customHeight="1">
      <c r="A41" s="17"/>
      <c r="B41" s="135">
        <v>27.0</v>
      </c>
      <c r="C41" s="113" t="str">
        <f>IF('INPUT DATA'!L37="","",'INPUT DATA'!L37)</f>
        <v/>
      </c>
      <c r="D41" s="114"/>
      <c r="E41" s="115"/>
      <c r="F41" s="134" t="str">
        <f>IF('INPUT DATA'!M37="","",'INPUT DATA'!M37)</f>
        <v/>
      </c>
      <c r="G41" s="115"/>
      <c r="H41" s="128" t="str">
        <f>IF('INPUT DATA'!N37="","",'INPUT DATA'!N37)</f>
        <v/>
      </c>
      <c r="I41" s="129" t="str">
        <f t="shared" si="1"/>
        <v/>
      </c>
      <c r="J41" s="132"/>
      <c r="K41" s="131"/>
      <c r="L41" s="130"/>
      <c r="M41" s="130"/>
      <c r="N41" s="130"/>
      <c r="O41" s="130"/>
      <c r="P41" s="130"/>
      <c r="Q41" s="130"/>
      <c r="R41" s="130"/>
      <c r="S41" s="130"/>
      <c r="T41" s="122" t="str">
        <f t="shared" si="2"/>
        <v/>
      </c>
      <c r="U41" s="123" t="str">
        <f t="shared" si="3"/>
        <v/>
      </c>
      <c r="V41" s="17"/>
      <c r="W41" s="17"/>
      <c r="X41" s="17"/>
      <c r="Y41" s="17"/>
      <c r="Z41" s="17"/>
      <c r="AA41" s="17"/>
      <c r="AB41" s="17"/>
      <c r="AC41" s="17"/>
      <c r="AD41" s="17"/>
      <c r="AE41" s="17"/>
      <c r="AF41" s="17"/>
    </row>
    <row r="42" ht="15.75" customHeight="1">
      <c r="A42" s="17"/>
      <c r="B42" s="135">
        <v>28.0</v>
      </c>
      <c r="C42" s="113" t="str">
        <f>IF('INPUT DATA'!L38="","",'INPUT DATA'!L38)</f>
        <v/>
      </c>
      <c r="D42" s="114"/>
      <c r="E42" s="115"/>
      <c r="F42" s="134" t="str">
        <f>IF('INPUT DATA'!M38="","",'INPUT DATA'!M38)</f>
        <v/>
      </c>
      <c r="G42" s="115"/>
      <c r="H42" s="128" t="str">
        <f>IF('INPUT DATA'!N38="","",'INPUT DATA'!N38)</f>
        <v/>
      </c>
      <c r="I42" s="129" t="str">
        <f t="shared" si="1"/>
        <v/>
      </c>
      <c r="J42" s="132"/>
      <c r="K42" s="131"/>
      <c r="L42" s="130"/>
      <c r="M42" s="130"/>
      <c r="N42" s="130"/>
      <c r="O42" s="130"/>
      <c r="P42" s="130"/>
      <c r="Q42" s="130"/>
      <c r="R42" s="130"/>
      <c r="S42" s="130"/>
      <c r="T42" s="122" t="str">
        <f t="shared" si="2"/>
        <v/>
      </c>
      <c r="U42" s="123" t="str">
        <f t="shared" si="3"/>
        <v/>
      </c>
      <c r="V42" s="17"/>
      <c r="W42" s="17"/>
      <c r="X42" s="17"/>
      <c r="Y42" s="17"/>
      <c r="Z42" s="17"/>
      <c r="AA42" s="17"/>
      <c r="AB42" s="17"/>
      <c r="AC42" s="17"/>
      <c r="AD42" s="17"/>
      <c r="AE42" s="17"/>
      <c r="AF42" s="17"/>
    </row>
    <row r="43" ht="15.75" customHeight="1">
      <c r="A43" s="17"/>
      <c r="B43" s="135">
        <v>29.0</v>
      </c>
      <c r="C43" s="113" t="str">
        <f>IF('INPUT DATA'!L39="","",'INPUT DATA'!L39)</f>
        <v/>
      </c>
      <c r="D43" s="114"/>
      <c r="E43" s="115"/>
      <c r="F43" s="134" t="str">
        <f>IF('INPUT DATA'!M39="","",'INPUT DATA'!M39)</f>
        <v/>
      </c>
      <c r="G43" s="115"/>
      <c r="H43" s="128" t="str">
        <f>IF('INPUT DATA'!N39="","",'INPUT DATA'!N39)</f>
        <v/>
      </c>
      <c r="I43" s="129" t="str">
        <f t="shared" si="1"/>
        <v/>
      </c>
      <c r="J43" s="132"/>
      <c r="K43" s="131"/>
      <c r="L43" s="130"/>
      <c r="M43" s="130"/>
      <c r="N43" s="130"/>
      <c r="O43" s="130"/>
      <c r="P43" s="130"/>
      <c r="Q43" s="130"/>
      <c r="R43" s="130"/>
      <c r="S43" s="130"/>
      <c r="T43" s="122" t="str">
        <f t="shared" si="2"/>
        <v/>
      </c>
      <c r="U43" s="123" t="str">
        <f t="shared" si="3"/>
        <v/>
      </c>
      <c r="V43" s="17"/>
      <c r="W43" s="17"/>
      <c r="X43" s="17"/>
      <c r="Y43" s="17"/>
      <c r="Z43" s="17"/>
      <c r="AA43" s="17"/>
      <c r="AB43" s="17"/>
      <c r="AC43" s="17"/>
      <c r="AD43" s="17"/>
      <c r="AE43" s="17"/>
      <c r="AF43" s="17"/>
    </row>
    <row r="44" ht="15.75" customHeight="1">
      <c r="A44" s="17"/>
      <c r="B44" s="135">
        <v>30.0</v>
      </c>
      <c r="C44" s="113" t="str">
        <f>IF('INPUT DATA'!L40="","",'INPUT DATA'!L40)</f>
        <v/>
      </c>
      <c r="D44" s="114"/>
      <c r="E44" s="115"/>
      <c r="F44" s="134" t="str">
        <f>IF('INPUT DATA'!M40="","",'INPUT DATA'!M40)</f>
        <v/>
      </c>
      <c r="G44" s="115"/>
      <c r="H44" s="128" t="str">
        <f>IF('INPUT DATA'!N40="","",'INPUT DATA'!N40)</f>
        <v/>
      </c>
      <c r="I44" s="129" t="str">
        <f t="shared" si="1"/>
        <v/>
      </c>
      <c r="J44" s="132"/>
      <c r="K44" s="131"/>
      <c r="L44" s="130"/>
      <c r="M44" s="130"/>
      <c r="N44" s="130"/>
      <c r="O44" s="130"/>
      <c r="P44" s="130"/>
      <c r="Q44" s="130"/>
      <c r="R44" s="130"/>
      <c r="S44" s="130"/>
      <c r="T44" s="122" t="str">
        <f t="shared" si="2"/>
        <v/>
      </c>
      <c r="U44" s="123" t="str">
        <f t="shared" si="3"/>
        <v/>
      </c>
      <c r="V44" s="17"/>
      <c r="W44" s="17"/>
      <c r="X44" s="17"/>
      <c r="Y44" s="17"/>
      <c r="Z44" s="17"/>
      <c r="AA44" s="17"/>
      <c r="AB44" s="17"/>
      <c r="AC44" s="17"/>
      <c r="AD44" s="17"/>
      <c r="AE44" s="17"/>
      <c r="AF44" s="17"/>
    </row>
    <row r="45" ht="15.75" customHeight="1">
      <c r="A45" s="17"/>
      <c r="B45" s="135">
        <v>31.0</v>
      </c>
      <c r="C45" s="113" t="str">
        <f>IF('INPUT DATA'!L41="","",'INPUT DATA'!L41)</f>
        <v/>
      </c>
      <c r="D45" s="114"/>
      <c r="E45" s="115"/>
      <c r="F45" s="134" t="str">
        <f>IF('INPUT DATA'!M41="","",'INPUT DATA'!M41)</f>
        <v/>
      </c>
      <c r="G45" s="115"/>
      <c r="H45" s="128" t="str">
        <f>IF('INPUT DATA'!N41="","",'INPUT DATA'!N41)</f>
        <v/>
      </c>
      <c r="I45" s="129" t="str">
        <f t="shared" si="1"/>
        <v/>
      </c>
      <c r="J45" s="132"/>
      <c r="K45" s="131"/>
      <c r="L45" s="130"/>
      <c r="M45" s="130"/>
      <c r="N45" s="130"/>
      <c r="O45" s="130"/>
      <c r="P45" s="130"/>
      <c r="Q45" s="130"/>
      <c r="R45" s="130"/>
      <c r="S45" s="130"/>
      <c r="T45" s="122" t="str">
        <f t="shared" si="2"/>
        <v/>
      </c>
      <c r="U45" s="123" t="str">
        <f t="shared" si="3"/>
        <v/>
      </c>
      <c r="V45" s="17"/>
      <c r="W45" s="17"/>
      <c r="X45" s="17"/>
      <c r="Y45" s="17"/>
      <c r="Z45" s="17"/>
      <c r="AA45" s="17"/>
      <c r="AB45" s="17"/>
      <c r="AC45" s="17"/>
      <c r="AD45" s="17"/>
      <c r="AE45" s="17"/>
      <c r="AF45" s="17"/>
    </row>
    <row r="46" ht="15.75" customHeight="1">
      <c r="A46" s="17"/>
      <c r="B46" s="135">
        <v>32.0</v>
      </c>
      <c r="C46" s="113" t="str">
        <f>IF('INPUT DATA'!L42="","",'INPUT DATA'!L42)</f>
        <v/>
      </c>
      <c r="D46" s="114"/>
      <c r="E46" s="115"/>
      <c r="F46" s="134" t="str">
        <f>IF('INPUT DATA'!M42="","",'INPUT DATA'!M42)</f>
        <v/>
      </c>
      <c r="G46" s="115"/>
      <c r="H46" s="128" t="str">
        <f>IF('INPUT DATA'!N42="","",'INPUT DATA'!N42)</f>
        <v/>
      </c>
      <c r="I46" s="129" t="str">
        <f t="shared" si="1"/>
        <v/>
      </c>
      <c r="J46" s="132"/>
      <c r="K46" s="131"/>
      <c r="L46" s="130"/>
      <c r="M46" s="130"/>
      <c r="N46" s="130"/>
      <c r="O46" s="130"/>
      <c r="P46" s="130"/>
      <c r="Q46" s="130"/>
      <c r="R46" s="130"/>
      <c r="S46" s="130"/>
      <c r="T46" s="122" t="str">
        <f t="shared" si="2"/>
        <v/>
      </c>
      <c r="U46" s="123" t="str">
        <f t="shared" si="3"/>
        <v/>
      </c>
      <c r="V46" s="17"/>
      <c r="W46" s="17"/>
      <c r="X46" s="17"/>
      <c r="Y46" s="17"/>
      <c r="Z46" s="17"/>
      <c r="AA46" s="17"/>
      <c r="AB46" s="17"/>
      <c r="AC46" s="17"/>
      <c r="AD46" s="17"/>
      <c r="AE46" s="17"/>
      <c r="AF46" s="17"/>
    </row>
    <row r="47" ht="15.75" customHeight="1">
      <c r="A47" s="17"/>
      <c r="B47" s="135">
        <v>33.0</v>
      </c>
      <c r="C47" s="113" t="str">
        <f>IF('INPUT DATA'!L43="","",'INPUT DATA'!L43)</f>
        <v/>
      </c>
      <c r="D47" s="114"/>
      <c r="E47" s="115"/>
      <c r="F47" s="134" t="str">
        <f>IF('INPUT DATA'!M43="","",'INPUT DATA'!M43)</f>
        <v/>
      </c>
      <c r="G47" s="115"/>
      <c r="H47" s="128" t="str">
        <f>IF('INPUT DATA'!N43="","",'INPUT DATA'!N43)</f>
        <v/>
      </c>
      <c r="I47" s="129" t="str">
        <f t="shared" si="1"/>
        <v/>
      </c>
      <c r="J47" s="132"/>
      <c r="K47" s="131"/>
      <c r="L47" s="130"/>
      <c r="M47" s="130"/>
      <c r="N47" s="130"/>
      <c r="O47" s="130"/>
      <c r="P47" s="130"/>
      <c r="Q47" s="130"/>
      <c r="R47" s="130"/>
      <c r="S47" s="130"/>
      <c r="T47" s="122" t="str">
        <f t="shared" si="2"/>
        <v/>
      </c>
      <c r="U47" s="123" t="str">
        <f t="shared" si="3"/>
        <v/>
      </c>
      <c r="V47" s="17"/>
      <c r="W47" s="17"/>
      <c r="X47" s="17"/>
      <c r="Y47" s="17"/>
      <c r="Z47" s="17"/>
      <c r="AA47" s="17"/>
      <c r="AB47" s="17"/>
      <c r="AC47" s="17"/>
      <c r="AD47" s="17"/>
      <c r="AE47" s="17"/>
      <c r="AF47" s="17"/>
    </row>
    <row r="48" ht="15.75" customHeight="1">
      <c r="A48" s="17"/>
      <c r="B48" s="135">
        <v>34.0</v>
      </c>
      <c r="C48" s="113" t="str">
        <f>IF('INPUT DATA'!L44="","",'INPUT DATA'!L44)</f>
        <v/>
      </c>
      <c r="D48" s="114"/>
      <c r="E48" s="115"/>
      <c r="F48" s="134" t="str">
        <f>IF('INPUT DATA'!M44="","",'INPUT DATA'!M44)</f>
        <v/>
      </c>
      <c r="G48" s="115"/>
      <c r="H48" s="128" t="str">
        <f>IF('INPUT DATA'!N44="","",'INPUT DATA'!N44)</f>
        <v/>
      </c>
      <c r="I48" s="129" t="str">
        <f t="shared" si="1"/>
        <v/>
      </c>
      <c r="J48" s="132"/>
      <c r="K48" s="131"/>
      <c r="L48" s="130"/>
      <c r="M48" s="130"/>
      <c r="N48" s="130"/>
      <c r="O48" s="130"/>
      <c r="P48" s="130"/>
      <c r="Q48" s="130"/>
      <c r="R48" s="130"/>
      <c r="S48" s="130"/>
      <c r="T48" s="122" t="str">
        <f t="shared" si="2"/>
        <v/>
      </c>
      <c r="U48" s="123" t="str">
        <f t="shared" si="3"/>
        <v/>
      </c>
      <c r="V48" s="17"/>
      <c r="W48" s="17"/>
      <c r="X48" s="17"/>
      <c r="Y48" s="17"/>
      <c r="Z48" s="17"/>
      <c r="AA48" s="17"/>
      <c r="AB48" s="17"/>
      <c r="AC48" s="17"/>
      <c r="AD48" s="17"/>
      <c r="AE48" s="17"/>
      <c r="AF48" s="17"/>
    </row>
    <row r="49" ht="15.75" customHeight="1">
      <c r="A49" s="17"/>
      <c r="B49" s="135">
        <v>35.0</v>
      </c>
      <c r="C49" s="113" t="str">
        <f>IF('INPUT DATA'!L45="","",'INPUT DATA'!L45)</f>
        <v/>
      </c>
      <c r="D49" s="114"/>
      <c r="E49" s="115"/>
      <c r="F49" s="134" t="str">
        <f>IF('INPUT DATA'!M45="","",'INPUT DATA'!M45)</f>
        <v/>
      </c>
      <c r="G49" s="115"/>
      <c r="H49" s="128" t="str">
        <f>IF('INPUT DATA'!N45="","",'INPUT DATA'!N45)</f>
        <v/>
      </c>
      <c r="I49" s="129" t="str">
        <f t="shared" si="1"/>
        <v/>
      </c>
      <c r="J49" s="132"/>
      <c r="K49" s="131"/>
      <c r="L49" s="130"/>
      <c r="M49" s="130"/>
      <c r="N49" s="130"/>
      <c r="O49" s="130"/>
      <c r="P49" s="130"/>
      <c r="Q49" s="130"/>
      <c r="R49" s="130"/>
      <c r="S49" s="130"/>
      <c r="T49" s="122" t="str">
        <f t="shared" si="2"/>
        <v/>
      </c>
      <c r="U49" s="123" t="str">
        <f t="shared" si="3"/>
        <v/>
      </c>
      <c r="V49" s="17"/>
      <c r="W49" s="17"/>
      <c r="X49" s="17"/>
      <c r="Y49" s="17"/>
      <c r="Z49" s="17"/>
      <c r="AA49" s="17"/>
      <c r="AB49" s="17"/>
      <c r="AC49" s="17"/>
      <c r="AD49" s="17"/>
      <c r="AE49" s="17"/>
      <c r="AF49" s="17"/>
    </row>
    <row r="50" ht="15.75" customHeight="1">
      <c r="A50" s="17"/>
      <c r="B50" s="135">
        <v>36.0</v>
      </c>
      <c r="C50" s="113" t="str">
        <f>IF('INPUT DATA'!L46="","",'INPUT DATA'!L46)</f>
        <v/>
      </c>
      <c r="D50" s="114"/>
      <c r="E50" s="115"/>
      <c r="F50" s="134" t="str">
        <f>IF('INPUT DATA'!M46="","",'INPUT DATA'!M46)</f>
        <v/>
      </c>
      <c r="G50" s="115"/>
      <c r="H50" s="128" t="str">
        <f>IF('INPUT DATA'!N46="","",'INPUT DATA'!N46)</f>
        <v/>
      </c>
      <c r="I50" s="129" t="str">
        <f t="shared" si="1"/>
        <v/>
      </c>
      <c r="J50" s="132"/>
      <c r="K50" s="131"/>
      <c r="L50" s="130"/>
      <c r="M50" s="130"/>
      <c r="N50" s="130"/>
      <c r="O50" s="130"/>
      <c r="P50" s="130"/>
      <c r="Q50" s="130"/>
      <c r="R50" s="130"/>
      <c r="S50" s="130"/>
      <c r="T50" s="122" t="str">
        <f t="shared" si="2"/>
        <v/>
      </c>
      <c r="U50" s="123" t="str">
        <f t="shared" si="3"/>
        <v/>
      </c>
      <c r="V50" s="17"/>
      <c r="W50" s="17"/>
      <c r="X50" s="17"/>
      <c r="Y50" s="17"/>
      <c r="Z50" s="17"/>
      <c r="AA50" s="17"/>
      <c r="AB50" s="17"/>
      <c r="AC50" s="17"/>
      <c r="AD50" s="17"/>
      <c r="AE50" s="17"/>
      <c r="AF50" s="17"/>
    </row>
    <row r="51" ht="15.75" customHeight="1">
      <c r="A51" s="17"/>
      <c r="B51" s="135">
        <v>37.0</v>
      </c>
      <c r="C51" s="113" t="str">
        <f>IF('INPUT DATA'!L47="","",'INPUT DATA'!L47)</f>
        <v/>
      </c>
      <c r="D51" s="114"/>
      <c r="E51" s="115"/>
      <c r="F51" s="134" t="str">
        <f>IF('INPUT DATA'!M47="","",'INPUT DATA'!M47)</f>
        <v/>
      </c>
      <c r="G51" s="115"/>
      <c r="H51" s="128" t="str">
        <f>IF('INPUT DATA'!N47="","",'INPUT DATA'!N47)</f>
        <v/>
      </c>
      <c r="I51" s="129" t="str">
        <f t="shared" si="1"/>
        <v/>
      </c>
      <c r="J51" s="132"/>
      <c r="K51" s="131"/>
      <c r="L51" s="130"/>
      <c r="M51" s="130"/>
      <c r="N51" s="130"/>
      <c r="O51" s="130"/>
      <c r="P51" s="130"/>
      <c r="Q51" s="130"/>
      <c r="R51" s="130"/>
      <c r="S51" s="130"/>
      <c r="T51" s="122" t="str">
        <f t="shared" si="2"/>
        <v/>
      </c>
      <c r="U51" s="123" t="str">
        <f t="shared" si="3"/>
        <v/>
      </c>
      <c r="V51" s="17"/>
      <c r="W51" s="17"/>
      <c r="X51" s="17"/>
      <c r="Y51" s="17"/>
      <c r="Z51" s="17"/>
      <c r="AA51" s="17"/>
      <c r="AB51" s="17"/>
      <c r="AC51" s="17"/>
      <c r="AD51" s="17"/>
      <c r="AE51" s="17"/>
      <c r="AF51" s="17"/>
    </row>
    <row r="52" ht="15.75" customHeight="1">
      <c r="A52" s="17"/>
      <c r="B52" s="135">
        <v>38.0</v>
      </c>
      <c r="C52" s="113" t="str">
        <f>IF('INPUT DATA'!L48="","",'INPUT DATA'!L48)</f>
        <v/>
      </c>
      <c r="D52" s="114"/>
      <c r="E52" s="115"/>
      <c r="F52" s="134" t="str">
        <f>IF('INPUT DATA'!M48="","",'INPUT DATA'!M48)</f>
        <v/>
      </c>
      <c r="G52" s="115"/>
      <c r="H52" s="128" t="str">
        <f>IF('INPUT DATA'!N48="","",'INPUT DATA'!N48)</f>
        <v/>
      </c>
      <c r="I52" s="129" t="str">
        <f t="shared" si="1"/>
        <v/>
      </c>
      <c r="J52" s="132"/>
      <c r="K52" s="131"/>
      <c r="L52" s="130"/>
      <c r="M52" s="130"/>
      <c r="N52" s="130"/>
      <c r="O52" s="130"/>
      <c r="P52" s="130"/>
      <c r="Q52" s="130"/>
      <c r="R52" s="130"/>
      <c r="S52" s="130"/>
      <c r="T52" s="122" t="str">
        <f t="shared" si="2"/>
        <v/>
      </c>
      <c r="U52" s="123" t="str">
        <f t="shared" si="3"/>
        <v/>
      </c>
      <c r="V52" s="17"/>
      <c r="W52" s="17"/>
      <c r="X52" s="17"/>
      <c r="Y52" s="17"/>
      <c r="Z52" s="17"/>
      <c r="AA52" s="17"/>
      <c r="AB52" s="17"/>
      <c r="AC52" s="17"/>
      <c r="AD52" s="17"/>
      <c r="AE52" s="17"/>
      <c r="AF52" s="17"/>
    </row>
    <row r="53" ht="15.75" customHeight="1">
      <c r="A53" s="17"/>
      <c r="B53" s="135">
        <v>39.0</v>
      </c>
      <c r="C53" s="113" t="str">
        <f>IF('INPUT DATA'!L49="","",'INPUT DATA'!L49)</f>
        <v/>
      </c>
      <c r="D53" s="114"/>
      <c r="E53" s="115"/>
      <c r="F53" s="134" t="str">
        <f>IF('INPUT DATA'!M49="","",'INPUT DATA'!M49)</f>
        <v/>
      </c>
      <c r="G53" s="115"/>
      <c r="H53" s="128" t="str">
        <f>IF('INPUT DATA'!N49="","",'INPUT DATA'!N49)</f>
        <v/>
      </c>
      <c r="I53" s="129" t="str">
        <f t="shared" si="1"/>
        <v/>
      </c>
      <c r="J53" s="132"/>
      <c r="K53" s="131"/>
      <c r="L53" s="130"/>
      <c r="M53" s="130"/>
      <c r="N53" s="130"/>
      <c r="O53" s="130"/>
      <c r="P53" s="130"/>
      <c r="Q53" s="130"/>
      <c r="R53" s="130"/>
      <c r="S53" s="130"/>
      <c r="T53" s="122" t="str">
        <f t="shared" si="2"/>
        <v/>
      </c>
      <c r="U53" s="123" t="str">
        <f t="shared" si="3"/>
        <v/>
      </c>
      <c r="V53" s="17"/>
      <c r="W53" s="17"/>
      <c r="X53" s="17"/>
      <c r="Y53" s="17"/>
      <c r="Z53" s="17"/>
      <c r="AA53" s="17"/>
      <c r="AB53" s="17"/>
      <c r="AC53" s="17"/>
      <c r="AD53" s="17"/>
      <c r="AE53" s="17"/>
      <c r="AF53" s="17"/>
    </row>
    <row r="54" ht="15.75" customHeight="1">
      <c r="A54" s="17"/>
      <c r="B54" s="135">
        <v>40.0</v>
      </c>
      <c r="C54" s="113" t="str">
        <f>IF('INPUT DATA'!L50="","",'INPUT DATA'!L50)</f>
        <v/>
      </c>
      <c r="D54" s="114"/>
      <c r="E54" s="115"/>
      <c r="F54" s="134" t="str">
        <f>IF('INPUT DATA'!M50="","",'INPUT DATA'!M50)</f>
        <v/>
      </c>
      <c r="G54" s="115"/>
      <c r="H54" s="128" t="str">
        <f>IF('INPUT DATA'!N50="","",'INPUT DATA'!N50)</f>
        <v/>
      </c>
      <c r="I54" s="129" t="str">
        <f t="shared" si="1"/>
        <v/>
      </c>
      <c r="J54" s="132"/>
      <c r="K54" s="131"/>
      <c r="L54" s="130"/>
      <c r="M54" s="130"/>
      <c r="N54" s="130"/>
      <c r="O54" s="130"/>
      <c r="P54" s="130"/>
      <c r="Q54" s="130"/>
      <c r="R54" s="130"/>
      <c r="S54" s="130"/>
      <c r="T54" s="122" t="str">
        <f t="shared" si="2"/>
        <v/>
      </c>
      <c r="U54" s="123" t="str">
        <f t="shared" si="3"/>
        <v/>
      </c>
      <c r="V54" s="17"/>
      <c r="W54" s="17"/>
      <c r="X54" s="17"/>
      <c r="Y54" s="17"/>
      <c r="Z54" s="17"/>
      <c r="AA54" s="17"/>
      <c r="AB54" s="17"/>
      <c r="AC54" s="17"/>
      <c r="AD54" s="17"/>
      <c r="AE54" s="17"/>
      <c r="AF54" s="17"/>
    </row>
    <row r="55" ht="15.75" customHeight="1">
      <c r="A55" s="17"/>
      <c r="B55" s="135">
        <v>41.0</v>
      </c>
      <c r="C55" s="113" t="str">
        <f>IF('INPUT DATA'!L51="","",'INPUT DATA'!L51)</f>
        <v/>
      </c>
      <c r="D55" s="114"/>
      <c r="E55" s="115"/>
      <c r="F55" s="134" t="str">
        <f>IF('INPUT DATA'!M51="","",'INPUT DATA'!M51)</f>
        <v/>
      </c>
      <c r="G55" s="115"/>
      <c r="H55" s="128" t="str">
        <f>IF('INPUT DATA'!N51="","",'INPUT DATA'!N51)</f>
        <v/>
      </c>
      <c r="I55" s="129" t="str">
        <f t="shared" si="1"/>
        <v/>
      </c>
      <c r="J55" s="132"/>
      <c r="K55" s="131"/>
      <c r="L55" s="130"/>
      <c r="M55" s="130"/>
      <c r="N55" s="130"/>
      <c r="O55" s="130"/>
      <c r="P55" s="130"/>
      <c r="Q55" s="130"/>
      <c r="R55" s="130"/>
      <c r="S55" s="130"/>
      <c r="T55" s="122" t="str">
        <f t="shared" si="2"/>
        <v/>
      </c>
      <c r="U55" s="123" t="str">
        <f t="shared" si="3"/>
        <v/>
      </c>
      <c r="V55" s="17"/>
      <c r="W55" s="17"/>
      <c r="X55" s="17"/>
      <c r="Y55" s="17"/>
      <c r="Z55" s="17"/>
      <c r="AA55" s="17"/>
      <c r="AB55" s="17"/>
      <c r="AC55" s="17"/>
      <c r="AD55" s="17"/>
      <c r="AE55" s="17"/>
      <c r="AF55" s="17"/>
    </row>
    <row r="56" ht="15.75" customHeight="1">
      <c r="A56" s="17"/>
      <c r="B56" s="135">
        <v>42.0</v>
      </c>
      <c r="C56" s="113" t="str">
        <f>IF('INPUT DATA'!L52="","",'INPUT DATA'!L52)</f>
        <v/>
      </c>
      <c r="D56" s="114"/>
      <c r="E56" s="115"/>
      <c r="F56" s="134" t="str">
        <f>IF('INPUT DATA'!M52="","",'INPUT DATA'!M52)</f>
        <v/>
      </c>
      <c r="G56" s="115"/>
      <c r="H56" s="128" t="str">
        <f>IF('INPUT DATA'!N52="","",'INPUT DATA'!N52)</f>
        <v/>
      </c>
      <c r="I56" s="129" t="str">
        <f t="shared" si="1"/>
        <v/>
      </c>
      <c r="J56" s="132"/>
      <c r="K56" s="131"/>
      <c r="L56" s="130"/>
      <c r="M56" s="130"/>
      <c r="N56" s="130"/>
      <c r="O56" s="130"/>
      <c r="P56" s="130"/>
      <c r="Q56" s="130"/>
      <c r="R56" s="130"/>
      <c r="S56" s="130"/>
      <c r="T56" s="122" t="str">
        <f t="shared" si="2"/>
        <v/>
      </c>
      <c r="U56" s="123" t="str">
        <f t="shared" si="3"/>
        <v/>
      </c>
      <c r="V56" s="17"/>
      <c r="W56" s="17"/>
      <c r="X56" s="17"/>
      <c r="Y56" s="17"/>
      <c r="Z56" s="17"/>
      <c r="AA56" s="17"/>
      <c r="AB56" s="17"/>
      <c r="AC56" s="17"/>
      <c r="AD56" s="17"/>
      <c r="AE56" s="17"/>
      <c r="AF56" s="17"/>
    </row>
    <row r="57" ht="15.75" customHeight="1">
      <c r="A57" s="17"/>
      <c r="B57" s="135">
        <v>43.0</v>
      </c>
      <c r="C57" s="113" t="str">
        <f>IF('INPUT DATA'!L53="","",'INPUT DATA'!L53)</f>
        <v/>
      </c>
      <c r="D57" s="114"/>
      <c r="E57" s="115"/>
      <c r="F57" s="134" t="str">
        <f>IF('INPUT DATA'!M53="","",'INPUT DATA'!M53)</f>
        <v/>
      </c>
      <c r="G57" s="115"/>
      <c r="H57" s="128" t="str">
        <f>IF('INPUT DATA'!N53="","",'INPUT DATA'!N53)</f>
        <v/>
      </c>
      <c r="I57" s="129" t="str">
        <f t="shared" si="1"/>
        <v/>
      </c>
      <c r="J57" s="132"/>
      <c r="K57" s="131"/>
      <c r="L57" s="130"/>
      <c r="M57" s="130"/>
      <c r="N57" s="130"/>
      <c r="O57" s="130"/>
      <c r="P57" s="130"/>
      <c r="Q57" s="130"/>
      <c r="R57" s="130"/>
      <c r="S57" s="130"/>
      <c r="T57" s="122" t="str">
        <f t="shared" si="2"/>
        <v/>
      </c>
      <c r="U57" s="123" t="str">
        <f t="shared" si="3"/>
        <v/>
      </c>
      <c r="V57" s="17"/>
      <c r="W57" s="17"/>
      <c r="X57" s="17"/>
      <c r="Y57" s="17"/>
      <c r="Z57" s="17"/>
      <c r="AA57" s="17"/>
      <c r="AB57" s="17"/>
      <c r="AC57" s="17"/>
      <c r="AD57" s="17"/>
      <c r="AE57" s="17"/>
      <c r="AF57" s="17"/>
    </row>
    <row r="58" ht="15.75" customHeight="1">
      <c r="A58" s="17"/>
      <c r="B58" s="135">
        <v>44.0</v>
      </c>
      <c r="C58" s="113" t="str">
        <f>IF('INPUT DATA'!L54="","",'INPUT DATA'!L54)</f>
        <v/>
      </c>
      <c r="D58" s="114"/>
      <c r="E58" s="115"/>
      <c r="F58" s="134" t="str">
        <f>IF('INPUT DATA'!M54="","",'INPUT DATA'!M54)</f>
        <v/>
      </c>
      <c r="G58" s="115"/>
      <c r="H58" s="128" t="str">
        <f>IF('INPUT DATA'!N54="","",'INPUT DATA'!N54)</f>
        <v/>
      </c>
      <c r="I58" s="129" t="str">
        <f t="shared" si="1"/>
        <v/>
      </c>
      <c r="J58" s="132"/>
      <c r="K58" s="131"/>
      <c r="L58" s="130"/>
      <c r="M58" s="130"/>
      <c r="N58" s="130"/>
      <c r="O58" s="130"/>
      <c r="P58" s="130"/>
      <c r="Q58" s="130"/>
      <c r="R58" s="130"/>
      <c r="S58" s="130"/>
      <c r="T58" s="122" t="str">
        <f t="shared" si="2"/>
        <v/>
      </c>
      <c r="U58" s="123" t="str">
        <f t="shared" si="3"/>
        <v/>
      </c>
      <c r="V58" s="17"/>
      <c r="W58" s="17"/>
      <c r="X58" s="17"/>
      <c r="Y58" s="17"/>
      <c r="Z58" s="17"/>
      <c r="AA58" s="17"/>
      <c r="AB58" s="17"/>
      <c r="AC58" s="17"/>
      <c r="AD58" s="17"/>
      <c r="AE58" s="17"/>
      <c r="AF58" s="17"/>
    </row>
    <row r="59" ht="15.75" customHeight="1">
      <c r="A59" s="17"/>
      <c r="B59" s="135">
        <v>45.0</v>
      </c>
      <c r="C59" s="113" t="str">
        <f>IF('INPUT DATA'!L55="","",'INPUT DATA'!L55)</f>
        <v/>
      </c>
      <c r="D59" s="114"/>
      <c r="E59" s="115"/>
      <c r="F59" s="134" t="str">
        <f>IF('INPUT DATA'!M55="","",'INPUT DATA'!M55)</f>
        <v/>
      </c>
      <c r="G59" s="115"/>
      <c r="H59" s="128" t="str">
        <f>IF('INPUT DATA'!N55="","",'INPUT DATA'!N55)</f>
        <v/>
      </c>
      <c r="I59" s="129" t="str">
        <f t="shared" si="1"/>
        <v/>
      </c>
      <c r="J59" s="132"/>
      <c r="K59" s="136"/>
      <c r="L59" s="137"/>
      <c r="M59" s="137"/>
      <c r="N59" s="137"/>
      <c r="O59" s="137"/>
      <c r="P59" s="137"/>
      <c r="Q59" s="137"/>
      <c r="R59" s="137"/>
      <c r="S59" s="137"/>
      <c r="T59" s="122" t="str">
        <f t="shared" si="2"/>
        <v/>
      </c>
      <c r="U59" s="123" t="str">
        <f t="shared" si="3"/>
        <v/>
      </c>
      <c r="V59" s="17"/>
      <c r="W59" s="17"/>
      <c r="X59" s="17"/>
      <c r="Y59" s="17"/>
      <c r="Z59" s="17"/>
      <c r="AA59" s="17"/>
      <c r="AB59" s="17"/>
      <c r="AC59" s="17"/>
      <c r="AD59" s="17"/>
      <c r="AE59" s="17"/>
      <c r="AF59" s="17"/>
    </row>
    <row r="60" ht="15.75" customHeight="1">
      <c r="A60" s="17"/>
      <c r="B60" s="135">
        <v>46.0</v>
      </c>
      <c r="C60" s="113" t="str">
        <f>IF('INPUT DATA'!L56="","",'INPUT DATA'!L56)</f>
        <v/>
      </c>
      <c r="D60" s="114"/>
      <c r="E60" s="115"/>
      <c r="F60" s="134" t="str">
        <f>IF('INPUT DATA'!M56="","",'INPUT DATA'!M56)</f>
        <v/>
      </c>
      <c r="G60" s="115"/>
      <c r="H60" s="128" t="str">
        <f>IF('INPUT DATA'!N56="","",'INPUT DATA'!N56)</f>
        <v/>
      </c>
      <c r="I60" s="129" t="str">
        <f t="shared" si="1"/>
        <v/>
      </c>
      <c r="J60" s="132"/>
      <c r="K60" s="131"/>
      <c r="L60" s="130"/>
      <c r="M60" s="130"/>
      <c r="N60" s="130"/>
      <c r="O60" s="130"/>
      <c r="P60" s="130"/>
      <c r="Q60" s="130"/>
      <c r="R60" s="130"/>
      <c r="S60" s="130"/>
      <c r="T60" s="122" t="str">
        <f t="shared" si="2"/>
        <v/>
      </c>
      <c r="U60" s="123" t="str">
        <f t="shared" si="3"/>
        <v/>
      </c>
      <c r="V60" s="17"/>
      <c r="W60" s="17"/>
      <c r="X60" s="17"/>
      <c r="Y60" s="17"/>
      <c r="Z60" s="17"/>
      <c r="AA60" s="17"/>
      <c r="AB60" s="17"/>
      <c r="AC60" s="17"/>
      <c r="AD60" s="17"/>
      <c r="AE60" s="17"/>
      <c r="AF60" s="17"/>
    </row>
    <row r="61" ht="15.75" customHeight="1">
      <c r="A61" s="17"/>
      <c r="B61" s="135">
        <v>47.0</v>
      </c>
      <c r="C61" s="113" t="str">
        <f>IF('INPUT DATA'!L57="","",'INPUT DATA'!L57)</f>
        <v/>
      </c>
      <c r="D61" s="114"/>
      <c r="E61" s="115"/>
      <c r="F61" s="134" t="str">
        <f>IF('INPUT DATA'!M57="","",'INPUT DATA'!M57)</f>
        <v/>
      </c>
      <c r="G61" s="115"/>
      <c r="H61" s="128" t="str">
        <f>IF('INPUT DATA'!N57="","",'INPUT DATA'!N57)</f>
        <v/>
      </c>
      <c r="I61" s="129" t="str">
        <f t="shared" si="1"/>
        <v/>
      </c>
      <c r="J61" s="132"/>
      <c r="K61" s="131"/>
      <c r="L61" s="130"/>
      <c r="M61" s="130"/>
      <c r="N61" s="130"/>
      <c r="O61" s="130"/>
      <c r="P61" s="130"/>
      <c r="Q61" s="130"/>
      <c r="R61" s="130"/>
      <c r="S61" s="130"/>
      <c r="T61" s="122" t="str">
        <f t="shared" si="2"/>
        <v/>
      </c>
      <c r="U61" s="123" t="str">
        <f t="shared" si="3"/>
        <v/>
      </c>
      <c r="V61" s="17"/>
      <c r="W61" s="17"/>
      <c r="X61" s="17"/>
      <c r="Y61" s="17"/>
      <c r="Z61" s="17"/>
      <c r="AA61" s="17"/>
      <c r="AB61" s="17"/>
      <c r="AC61" s="17"/>
      <c r="AD61" s="17"/>
      <c r="AE61" s="17"/>
      <c r="AF61" s="17"/>
    </row>
    <row r="62" ht="15.75" customHeight="1">
      <c r="A62" s="17"/>
      <c r="B62" s="135">
        <v>48.0</v>
      </c>
      <c r="C62" s="113" t="str">
        <f>IF('INPUT DATA'!L58="","",'INPUT DATA'!L58)</f>
        <v/>
      </c>
      <c r="D62" s="114"/>
      <c r="E62" s="115"/>
      <c r="F62" s="134" t="str">
        <f>IF('INPUT DATA'!M58="","",'INPUT DATA'!M58)</f>
        <v/>
      </c>
      <c r="G62" s="115"/>
      <c r="H62" s="128" t="str">
        <f>IF('INPUT DATA'!N58="","",'INPUT DATA'!N58)</f>
        <v/>
      </c>
      <c r="I62" s="129" t="str">
        <f t="shared" si="1"/>
        <v/>
      </c>
      <c r="J62" s="132"/>
      <c r="K62" s="131"/>
      <c r="L62" s="130"/>
      <c r="M62" s="130"/>
      <c r="N62" s="130"/>
      <c r="O62" s="130"/>
      <c r="P62" s="130"/>
      <c r="Q62" s="130"/>
      <c r="R62" s="130"/>
      <c r="S62" s="130"/>
      <c r="T62" s="122" t="str">
        <f t="shared" si="2"/>
        <v/>
      </c>
      <c r="U62" s="123" t="str">
        <f t="shared" si="3"/>
        <v/>
      </c>
      <c r="V62" s="17"/>
      <c r="W62" s="17"/>
      <c r="X62" s="17"/>
      <c r="Y62" s="17"/>
      <c r="Z62" s="17"/>
      <c r="AA62" s="17"/>
      <c r="AB62" s="17"/>
      <c r="AC62" s="17"/>
      <c r="AD62" s="17"/>
      <c r="AE62" s="17"/>
      <c r="AF62" s="17"/>
    </row>
    <row r="63" ht="15.75" customHeight="1">
      <c r="A63" s="17"/>
      <c r="B63" s="135">
        <v>49.0</v>
      </c>
      <c r="C63" s="113" t="str">
        <f>IF('INPUT DATA'!L59="","",'INPUT DATA'!L59)</f>
        <v/>
      </c>
      <c r="D63" s="114"/>
      <c r="E63" s="115"/>
      <c r="F63" s="134" t="str">
        <f>IF('INPUT DATA'!M59="","",'INPUT DATA'!M59)</f>
        <v/>
      </c>
      <c r="G63" s="115"/>
      <c r="H63" s="128" t="str">
        <f>IF('INPUT DATA'!N59="","",'INPUT DATA'!N59)</f>
        <v/>
      </c>
      <c r="I63" s="129" t="str">
        <f t="shared" si="1"/>
        <v/>
      </c>
      <c r="J63" s="132"/>
      <c r="K63" s="131"/>
      <c r="L63" s="130"/>
      <c r="M63" s="130"/>
      <c r="N63" s="130"/>
      <c r="O63" s="130"/>
      <c r="P63" s="130"/>
      <c r="Q63" s="130"/>
      <c r="R63" s="130"/>
      <c r="S63" s="130"/>
      <c r="T63" s="122" t="str">
        <f t="shared" si="2"/>
        <v/>
      </c>
      <c r="U63" s="123" t="str">
        <f t="shared" si="3"/>
        <v/>
      </c>
      <c r="V63" s="17"/>
      <c r="W63" s="17"/>
      <c r="X63" s="17"/>
      <c r="Y63" s="17"/>
      <c r="Z63" s="17"/>
      <c r="AA63" s="17"/>
      <c r="AB63" s="17"/>
      <c r="AC63" s="17"/>
      <c r="AD63" s="17"/>
      <c r="AE63" s="17"/>
      <c r="AF63" s="17"/>
    </row>
    <row r="64" ht="15.75" customHeight="1">
      <c r="A64" s="17"/>
      <c r="B64" s="138">
        <v>50.0</v>
      </c>
      <c r="C64" s="154" t="str">
        <f>IF('INPUT DATA'!L60="","",'INPUT DATA'!L60)</f>
        <v/>
      </c>
      <c r="D64" s="155"/>
      <c r="E64" s="156"/>
      <c r="F64" s="160" t="str">
        <f>IF('INPUT DATA'!M60="","",'INPUT DATA'!M60)</f>
        <v/>
      </c>
      <c r="G64" s="156"/>
      <c r="H64" s="164" t="str">
        <f>IF('INPUT DATA'!N60="","",'INPUT DATA'!N60)</f>
        <v/>
      </c>
      <c r="I64" s="129" t="str">
        <f t="shared" si="1"/>
        <v/>
      </c>
      <c r="J64" s="144"/>
      <c r="K64" s="145"/>
      <c r="L64" s="146"/>
      <c r="M64" s="146"/>
      <c r="N64" s="146"/>
      <c r="O64" s="146"/>
      <c r="P64" s="146"/>
      <c r="Q64" s="146"/>
      <c r="R64" s="146"/>
      <c r="S64" s="146"/>
      <c r="T64" s="122" t="str">
        <f t="shared" si="2"/>
        <v/>
      </c>
      <c r="U64" s="123" t="str">
        <f t="shared" si="3"/>
        <v/>
      </c>
      <c r="V64" s="17"/>
      <c r="W64" s="17"/>
      <c r="X64" s="17"/>
      <c r="Y64" s="17"/>
      <c r="Z64" s="17"/>
      <c r="AA64" s="17"/>
      <c r="AB64" s="17"/>
      <c r="AC64" s="17"/>
      <c r="AD64" s="17"/>
      <c r="AE64" s="17"/>
      <c r="AF64" s="17"/>
    </row>
    <row r="65" ht="15.75" customHeight="1">
      <c r="A65" s="17"/>
      <c r="B65" s="147" t="s">
        <v>12</v>
      </c>
      <c r="C65" s="148"/>
      <c r="D65" s="148"/>
      <c r="E65" s="148"/>
      <c r="F65" s="148"/>
      <c r="G65" s="148"/>
      <c r="H65" s="148"/>
      <c r="I65" s="150"/>
      <c r="J65" s="151"/>
      <c r="K65" s="150"/>
      <c r="L65" s="150"/>
      <c r="M65" s="150"/>
      <c r="N65" s="150"/>
      <c r="O65" s="150"/>
      <c r="P65" s="150"/>
      <c r="Q65" s="150"/>
      <c r="R65" s="150"/>
      <c r="S65" s="150"/>
      <c r="T65" s="152"/>
      <c r="U65" s="153"/>
      <c r="V65" s="17"/>
      <c r="W65" s="17"/>
      <c r="X65" s="17"/>
      <c r="Y65" s="17"/>
      <c r="Z65" s="17"/>
      <c r="AA65" s="17"/>
      <c r="AB65" s="17"/>
      <c r="AC65" s="17"/>
      <c r="AD65" s="17"/>
      <c r="AE65" s="17"/>
      <c r="AF65" s="17"/>
    </row>
    <row r="66" ht="15.75" customHeight="1">
      <c r="A66" s="17"/>
      <c r="B66" s="112">
        <v>1.0</v>
      </c>
      <c r="C66" s="167" t="str">
        <f>IF('INPUT DATA'!Q11="","",'INPUT DATA'!Q11)</f>
        <v/>
      </c>
      <c r="D66" s="168"/>
      <c r="E66" s="169"/>
      <c r="F66" s="116" t="str">
        <f>'INPUT DATA'!R11</f>
        <v/>
      </c>
      <c r="G66" s="115"/>
      <c r="H66" s="171" t="str">
        <f>IF('INPUT DATA'!S11="","",'INPUT DATA'!S11)</f>
        <v/>
      </c>
      <c r="I66" s="118" t="str">
        <f t="shared" ref="I66:I115" si="4">IF(H66="","",DATEDIF(H66,TODAY(),"Y"))</f>
        <v/>
      </c>
      <c r="J66" s="120" t="s">
        <v>58</v>
      </c>
      <c r="K66" s="121">
        <v>90.0</v>
      </c>
      <c r="L66" s="119">
        <v>91.0</v>
      </c>
      <c r="M66" s="119">
        <v>89.0</v>
      </c>
      <c r="N66" s="119">
        <v>90.0</v>
      </c>
      <c r="O66" s="119">
        <v>91.0</v>
      </c>
      <c r="P66" s="166"/>
      <c r="Q66" s="166"/>
      <c r="R66" s="166"/>
      <c r="S66" s="166">
        <v>92.0</v>
      </c>
      <c r="T66" s="175">
        <f t="shared" ref="T66:T115" si="5">IF(COUNT(K66:S66)=0,"",ROUND((K66+L66+M66+N66+O66+S66)/6,0))</f>
        <v>91</v>
      </c>
      <c r="U66" s="123">
        <f t="shared" ref="U66:U115" si="6">IF(T66="","",_xlfn.RANK.AVG(T66,$T$15:$T$115))</f>
        <v>2.5</v>
      </c>
      <c r="V66" s="17"/>
      <c r="W66" s="17"/>
      <c r="X66" s="17"/>
      <c r="Y66" s="17"/>
      <c r="Z66" s="17"/>
      <c r="AA66" s="17"/>
      <c r="AB66" s="17"/>
      <c r="AC66" s="17"/>
      <c r="AD66" s="17"/>
      <c r="AE66" s="17"/>
      <c r="AF66" s="17"/>
    </row>
    <row r="67" ht="15.75" customHeight="1">
      <c r="A67" s="17"/>
      <c r="B67" s="125">
        <v>2.0</v>
      </c>
      <c r="C67" s="170" t="str">
        <f>IF('INPUT DATA'!Q12="","",'INPUT DATA'!Q12)</f>
        <v/>
      </c>
      <c r="D67" s="172"/>
      <c r="E67" s="163"/>
      <c r="F67" s="116" t="str">
        <f>'INPUT DATA'!R12</f>
        <v/>
      </c>
      <c r="G67" s="115"/>
      <c r="H67" s="176" t="str">
        <f>IF('INPUT DATA'!S12="","",'INPUT DATA'!S12)</f>
        <v/>
      </c>
      <c r="I67" s="129" t="str">
        <f t="shared" si="4"/>
        <v/>
      </c>
      <c r="J67" s="132" t="s">
        <v>58</v>
      </c>
      <c r="K67" s="131">
        <v>92.0</v>
      </c>
      <c r="L67" s="130">
        <v>93.0</v>
      </c>
      <c r="M67" s="130">
        <v>89.0</v>
      </c>
      <c r="N67" s="130">
        <v>90.0</v>
      </c>
      <c r="O67" s="130">
        <v>90.0</v>
      </c>
      <c r="P67" s="174"/>
      <c r="Q67" s="174"/>
      <c r="R67" s="174"/>
      <c r="S67" s="174">
        <v>90.0</v>
      </c>
      <c r="T67" s="122">
        <f t="shared" si="5"/>
        <v>91</v>
      </c>
      <c r="U67" s="123">
        <f t="shared" si="6"/>
        <v>2.5</v>
      </c>
      <c r="V67" s="17"/>
      <c r="W67" s="17"/>
      <c r="X67" s="17"/>
      <c r="Y67" s="17"/>
      <c r="Z67" s="17"/>
      <c r="AA67" s="17"/>
      <c r="AB67" s="17"/>
      <c r="AC67" s="17"/>
      <c r="AD67" s="17"/>
      <c r="AE67" s="17"/>
      <c r="AF67" s="17"/>
    </row>
    <row r="68" ht="15.75" customHeight="1">
      <c r="A68" s="17"/>
      <c r="B68" s="125">
        <v>3.0</v>
      </c>
      <c r="C68" s="170" t="str">
        <f>IF('INPUT DATA'!Q13="","",'INPUT DATA'!Q13)</f>
        <v/>
      </c>
      <c r="D68" s="172"/>
      <c r="E68" s="163"/>
      <c r="F68" s="116" t="str">
        <f>'INPUT DATA'!R13</f>
        <v/>
      </c>
      <c r="G68" s="115"/>
      <c r="H68" s="176" t="str">
        <f>IF('INPUT DATA'!S13="","",'INPUT DATA'!S13)</f>
        <v/>
      </c>
      <c r="I68" s="129" t="str">
        <f t="shared" si="4"/>
        <v/>
      </c>
      <c r="J68" s="132" t="s">
        <v>58</v>
      </c>
      <c r="K68" s="131">
        <v>91.0</v>
      </c>
      <c r="L68" s="130">
        <v>92.0</v>
      </c>
      <c r="M68" s="130">
        <v>91.0</v>
      </c>
      <c r="N68" s="130">
        <v>90.0</v>
      </c>
      <c r="O68" s="130">
        <v>92.0</v>
      </c>
      <c r="P68" s="174"/>
      <c r="Q68" s="174"/>
      <c r="R68" s="174"/>
      <c r="S68" s="174">
        <v>89.0</v>
      </c>
      <c r="T68" s="122">
        <f t="shared" si="5"/>
        <v>91</v>
      </c>
      <c r="U68" s="123">
        <f t="shared" si="6"/>
        <v>2.5</v>
      </c>
      <c r="V68" s="17"/>
      <c r="W68" s="17"/>
      <c r="X68" s="17"/>
      <c r="Y68" s="17"/>
      <c r="Z68" s="17"/>
      <c r="AA68" s="17"/>
      <c r="AB68" s="17"/>
      <c r="AC68" s="17"/>
      <c r="AD68" s="17"/>
      <c r="AE68" s="17"/>
      <c r="AF68" s="17"/>
    </row>
    <row r="69" ht="15.75" customHeight="1">
      <c r="A69" s="17"/>
      <c r="B69" s="125">
        <v>4.0</v>
      </c>
      <c r="C69" s="170" t="str">
        <f>IF('INPUT DATA'!Q14="","",'INPUT DATA'!Q14)</f>
        <v/>
      </c>
      <c r="D69" s="172"/>
      <c r="E69" s="163"/>
      <c r="F69" s="177" t="str">
        <f>IF('INPUT DATA'!T14="","",'INPUT DATA'!T14)</f>
        <v/>
      </c>
      <c r="G69" s="163"/>
      <c r="H69" s="176" t="str">
        <f>IF('INPUT DATA'!S14="","",'INPUT DATA'!S14)</f>
        <v/>
      </c>
      <c r="I69" s="129" t="str">
        <f t="shared" si="4"/>
        <v/>
      </c>
      <c r="J69" s="132"/>
      <c r="K69" s="131"/>
      <c r="L69" s="130"/>
      <c r="M69" s="130"/>
      <c r="N69" s="130"/>
      <c r="O69" s="130"/>
      <c r="P69" s="174"/>
      <c r="Q69" s="174"/>
      <c r="R69" s="174"/>
      <c r="S69" s="174"/>
      <c r="T69" s="122" t="str">
        <f t="shared" si="5"/>
        <v/>
      </c>
      <c r="U69" s="123" t="str">
        <f t="shared" si="6"/>
        <v/>
      </c>
      <c r="V69" s="17"/>
      <c r="W69" s="17"/>
      <c r="X69" s="17"/>
      <c r="Y69" s="17"/>
      <c r="Z69" s="17"/>
      <c r="AA69" s="17"/>
      <c r="AB69" s="17"/>
      <c r="AC69" s="17"/>
      <c r="AD69" s="17"/>
      <c r="AE69" s="17"/>
      <c r="AF69" s="17"/>
    </row>
    <row r="70" ht="15.75" customHeight="1">
      <c r="A70" s="17"/>
      <c r="B70" s="125">
        <v>5.0</v>
      </c>
      <c r="C70" s="170" t="str">
        <f>IF('INPUT DATA'!Q15="","",'INPUT DATA'!Q15)</f>
        <v/>
      </c>
      <c r="D70" s="172"/>
      <c r="E70" s="163"/>
      <c r="F70" s="177" t="str">
        <f>IF('INPUT DATA'!T15="","",'INPUT DATA'!T15)</f>
        <v/>
      </c>
      <c r="G70" s="163"/>
      <c r="H70" s="176" t="str">
        <f>IF('INPUT DATA'!S15="","",'INPUT DATA'!S15)</f>
        <v/>
      </c>
      <c r="I70" s="129" t="str">
        <f t="shared" si="4"/>
        <v/>
      </c>
      <c r="J70" s="132"/>
      <c r="K70" s="131"/>
      <c r="L70" s="130"/>
      <c r="M70" s="130"/>
      <c r="N70" s="130"/>
      <c r="O70" s="130"/>
      <c r="P70" s="174"/>
      <c r="Q70" s="174"/>
      <c r="R70" s="174"/>
      <c r="S70" s="174"/>
      <c r="T70" s="122" t="str">
        <f t="shared" si="5"/>
        <v/>
      </c>
      <c r="U70" s="123" t="str">
        <f t="shared" si="6"/>
        <v/>
      </c>
      <c r="V70" s="17"/>
      <c r="W70" s="17"/>
      <c r="X70" s="17"/>
      <c r="Y70" s="17"/>
      <c r="Z70" s="17"/>
      <c r="AA70" s="17"/>
      <c r="AB70" s="17"/>
      <c r="AC70" s="17"/>
      <c r="AD70" s="17"/>
      <c r="AE70" s="17"/>
      <c r="AF70" s="17"/>
    </row>
    <row r="71" ht="15.75" customHeight="1">
      <c r="A71" s="17"/>
      <c r="B71" s="125">
        <v>6.0</v>
      </c>
      <c r="C71" s="170" t="str">
        <f>IF('INPUT DATA'!Q16="","",'INPUT DATA'!Q16)</f>
        <v/>
      </c>
      <c r="D71" s="172"/>
      <c r="E71" s="163"/>
      <c r="F71" s="177" t="str">
        <f>IF('INPUT DATA'!T16="","",'INPUT DATA'!T16)</f>
        <v/>
      </c>
      <c r="G71" s="163"/>
      <c r="H71" s="176" t="str">
        <f>IF('INPUT DATA'!S16="","",'INPUT DATA'!S16)</f>
        <v/>
      </c>
      <c r="I71" s="129" t="str">
        <f t="shared" si="4"/>
        <v/>
      </c>
      <c r="J71" s="132"/>
      <c r="K71" s="131"/>
      <c r="L71" s="130"/>
      <c r="M71" s="130"/>
      <c r="N71" s="130"/>
      <c r="O71" s="130"/>
      <c r="P71" s="174"/>
      <c r="Q71" s="174"/>
      <c r="R71" s="174"/>
      <c r="S71" s="174"/>
      <c r="T71" s="122" t="str">
        <f t="shared" si="5"/>
        <v/>
      </c>
      <c r="U71" s="123" t="str">
        <f t="shared" si="6"/>
        <v/>
      </c>
      <c r="V71" s="17"/>
      <c r="W71" s="17"/>
      <c r="X71" s="17"/>
      <c r="Y71" s="17"/>
      <c r="Z71" s="17"/>
      <c r="AA71" s="17"/>
      <c r="AB71" s="17"/>
      <c r="AC71" s="17"/>
      <c r="AD71" s="17"/>
      <c r="AE71" s="17"/>
      <c r="AF71" s="17"/>
    </row>
    <row r="72" ht="15.75" customHeight="1">
      <c r="A72" s="17"/>
      <c r="B72" s="125">
        <v>7.0</v>
      </c>
      <c r="C72" s="170" t="str">
        <f>IF('INPUT DATA'!Q17="","",'INPUT DATA'!Q17)</f>
        <v/>
      </c>
      <c r="D72" s="172"/>
      <c r="E72" s="163"/>
      <c r="F72" s="177" t="str">
        <f>IF('INPUT DATA'!T17="","",'INPUT DATA'!T17)</f>
        <v/>
      </c>
      <c r="G72" s="163"/>
      <c r="H72" s="176" t="str">
        <f>IF('INPUT DATA'!S17="","",'INPUT DATA'!S17)</f>
        <v/>
      </c>
      <c r="I72" s="129" t="str">
        <f t="shared" si="4"/>
        <v/>
      </c>
      <c r="J72" s="132"/>
      <c r="K72" s="131"/>
      <c r="L72" s="130"/>
      <c r="M72" s="130"/>
      <c r="N72" s="130"/>
      <c r="O72" s="130"/>
      <c r="P72" s="174"/>
      <c r="Q72" s="174"/>
      <c r="R72" s="174"/>
      <c r="S72" s="174"/>
      <c r="T72" s="122" t="str">
        <f t="shared" si="5"/>
        <v/>
      </c>
      <c r="U72" s="123" t="str">
        <f t="shared" si="6"/>
        <v/>
      </c>
      <c r="V72" s="17"/>
      <c r="W72" s="17"/>
      <c r="X72" s="17"/>
      <c r="Y72" s="17"/>
      <c r="Z72" s="17"/>
      <c r="AA72" s="17"/>
      <c r="AB72" s="17"/>
      <c r="AC72" s="17"/>
      <c r="AD72" s="17"/>
      <c r="AE72" s="17"/>
      <c r="AF72" s="17"/>
    </row>
    <row r="73" ht="15.75" customHeight="1">
      <c r="A73" s="17"/>
      <c r="B73" s="125">
        <v>8.0</v>
      </c>
      <c r="C73" s="170" t="str">
        <f>IF('INPUT DATA'!Q18="","",'INPUT DATA'!Q18)</f>
        <v/>
      </c>
      <c r="D73" s="172"/>
      <c r="E73" s="163"/>
      <c r="F73" s="177" t="str">
        <f>IF('INPUT DATA'!T18="","",'INPUT DATA'!T18)</f>
        <v/>
      </c>
      <c r="G73" s="163"/>
      <c r="H73" s="176" t="str">
        <f>IF('INPUT DATA'!S18="","",'INPUT DATA'!S18)</f>
        <v/>
      </c>
      <c r="I73" s="129" t="str">
        <f t="shared" si="4"/>
        <v/>
      </c>
      <c r="J73" s="132"/>
      <c r="K73" s="131"/>
      <c r="L73" s="130"/>
      <c r="M73" s="130"/>
      <c r="N73" s="130"/>
      <c r="O73" s="130"/>
      <c r="P73" s="174"/>
      <c r="Q73" s="174"/>
      <c r="R73" s="174"/>
      <c r="S73" s="174"/>
      <c r="T73" s="122" t="str">
        <f t="shared" si="5"/>
        <v/>
      </c>
      <c r="U73" s="123" t="str">
        <f t="shared" si="6"/>
        <v/>
      </c>
      <c r="V73" s="17"/>
      <c r="W73" s="17"/>
      <c r="X73" s="17"/>
      <c r="Y73" s="17"/>
      <c r="Z73" s="17"/>
      <c r="AA73" s="17"/>
      <c r="AB73" s="17"/>
      <c r="AC73" s="17"/>
      <c r="AD73" s="17"/>
      <c r="AE73" s="17"/>
      <c r="AF73" s="17"/>
    </row>
    <row r="74" ht="15.75" customHeight="1">
      <c r="A74" s="17"/>
      <c r="B74" s="125">
        <v>9.0</v>
      </c>
      <c r="C74" s="170" t="str">
        <f>IF('INPUT DATA'!Q19="","",'INPUT DATA'!Q19)</f>
        <v/>
      </c>
      <c r="D74" s="172"/>
      <c r="E74" s="163"/>
      <c r="F74" s="177" t="str">
        <f>IF('INPUT DATA'!T19="","",'INPUT DATA'!T19)</f>
        <v/>
      </c>
      <c r="G74" s="163"/>
      <c r="H74" s="176" t="str">
        <f>IF('INPUT DATA'!S19="","",'INPUT DATA'!S19)</f>
        <v/>
      </c>
      <c r="I74" s="129" t="str">
        <f t="shared" si="4"/>
        <v/>
      </c>
      <c r="J74" s="132"/>
      <c r="K74" s="131"/>
      <c r="L74" s="130"/>
      <c r="M74" s="130"/>
      <c r="N74" s="130"/>
      <c r="O74" s="130"/>
      <c r="P74" s="174"/>
      <c r="Q74" s="174"/>
      <c r="R74" s="174"/>
      <c r="S74" s="174"/>
      <c r="T74" s="122" t="str">
        <f t="shared" si="5"/>
        <v/>
      </c>
      <c r="U74" s="123" t="str">
        <f t="shared" si="6"/>
        <v/>
      </c>
      <c r="V74" s="17"/>
      <c r="W74" s="17"/>
      <c r="X74" s="17"/>
      <c r="Y74" s="17"/>
      <c r="Z74" s="17"/>
      <c r="AA74" s="17"/>
      <c r="AB74" s="17"/>
      <c r="AC74" s="17"/>
      <c r="AD74" s="17"/>
      <c r="AE74" s="17"/>
      <c r="AF74" s="17"/>
    </row>
    <row r="75" ht="15.75" customHeight="1">
      <c r="A75" s="17"/>
      <c r="B75" s="125">
        <v>10.0</v>
      </c>
      <c r="C75" s="170" t="str">
        <f>IF('INPUT DATA'!Q20="","",'INPUT DATA'!Q20)</f>
        <v/>
      </c>
      <c r="D75" s="172"/>
      <c r="E75" s="163"/>
      <c r="F75" s="177" t="str">
        <f>IF('INPUT DATA'!T20="","",'INPUT DATA'!T20)</f>
        <v/>
      </c>
      <c r="G75" s="163"/>
      <c r="H75" s="176" t="str">
        <f>IF('INPUT DATA'!S20="","",'INPUT DATA'!S20)</f>
        <v/>
      </c>
      <c r="I75" s="129" t="str">
        <f t="shared" si="4"/>
        <v/>
      </c>
      <c r="J75" s="132"/>
      <c r="K75" s="131"/>
      <c r="L75" s="130"/>
      <c r="M75" s="130"/>
      <c r="N75" s="130"/>
      <c r="O75" s="130"/>
      <c r="P75" s="174"/>
      <c r="Q75" s="174"/>
      <c r="R75" s="174"/>
      <c r="S75" s="174"/>
      <c r="T75" s="122" t="str">
        <f t="shared" si="5"/>
        <v/>
      </c>
      <c r="U75" s="123" t="str">
        <f t="shared" si="6"/>
        <v/>
      </c>
      <c r="V75" s="17"/>
      <c r="W75" s="17"/>
      <c r="X75" s="17"/>
      <c r="Y75" s="17"/>
      <c r="Z75" s="17"/>
      <c r="AA75" s="17"/>
      <c r="AB75" s="17"/>
      <c r="AC75" s="17"/>
      <c r="AD75" s="17"/>
      <c r="AE75" s="17"/>
      <c r="AF75" s="17"/>
    </row>
    <row r="76" ht="15.75" customHeight="1">
      <c r="A76" s="17"/>
      <c r="B76" s="125">
        <v>11.0</v>
      </c>
      <c r="C76" s="170" t="str">
        <f>IF('INPUT DATA'!Q21="","",'INPUT DATA'!Q21)</f>
        <v/>
      </c>
      <c r="D76" s="172"/>
      <c r="E76" s="163"/>
      <c r="F76" s="177" t="str">
        <f>IF('INPUT DATA'!T21="","",'INPUT DATA'!T21)</f>
        <v/>
      </c>
      <c r="G76" s="163"/>
      <c r="H76" s="176" t="str">
        <f>IF('INPUT DATA'!S21="","",'INPUT DATA'!S21)</f>
        <v/>
      </c>
      <c r="I76" s="129" t="str">
        <f t="shared" si="4"/>
        <v/>
      </c>
      <c r="J76" s="132"/>
      <c r="K76" s="131"/>
      <c r="L76" s="130"/>
      <c r="M76" s="130"/>
      <c r="N76" s="130"/>
      <c r="O76" s="130"/>
      <c r="P76" s="174"/>
      <c r="Q76" s="174"/>
      <c r="R76" s="174"/>
      <c r="S76" s="174"/>
      <c r="T76" s="122" t="str">
        <f t="shared" si="5"/>
        <v/>
      </c>
      <c r="U76" s="123" t="str">
        <f t="shared" si="6"/>
        <v/>
      </c>
      <c r="V76" s="17"/>
      <c r="W76" s="17"/>
      <c r="X76" s="17"/>
      <c r="Y76" s="17"/>
      <c r="Z76" s="17"/>
      <c r="AA76" s="17"/>
      <c r="AB76" s="17"/>
      <c r="AC76" s="17"/>
      <c r="AD76" s="17"/>
      <c r="AE76" s="17"/>
      <c r="AF76" s="17"/>
    </row>
    <row r="77" ht="15.75" customHeight="1">
      <c r="A77" s="17"/>
      <c r="B77" s="125">
        <v>12.0</v>
      </c>
      <c r="C77" s="170" t="str">
        <f>IF('INPUT DATA'!Q22="","",'INPUT DATA'!Q22)</f>
        <v/>
      </c>
      <c r="D77" s="172"/>
      <c r="E77" s="163"/>
      <c r="F77" s="177" t="str">
        <f>IF('INPUT DATA'!T22="","",'INPUT DATA'!T22)</f>
        <v/>
      </c>
      <c r="G77" s="163"/>
      <c r="H77" s="176" t="str">
        <f>IF('INPUT DATA'!S22="","",'INPUT DATA'!S22)</f>
        <v/>
      </c>
      <c r="I77" s="129" t="str">
        <f t="shared" si="4"/>
        <v/>
      </c>
      <c r="J77" s="132"/>
      <c r="K77" s="131"/>
      <c r="L77" s="130"/>
      <c r="M77" s="130"/>
      <c r="N77" s="130"/>
      <c r="O77" s="130"/>
      <c r="P77" s="174"/>
      <c r="Q77" s="174"/>
      <c r="R77" s="174"/>
      <c r="S77" s="174"/>
      <c r="T77" s="122" t="str">
        <f t="shared" si="5"/>
        <v/>
      </c>
      <c r="U77" s="123" t="str">
        <f t="shared" si="6"/>
        <v/>
      </c>
      <c r="V77" s="17"/>
      <c r="W77" s="17"/>
      <c r="X77" s="17"/>
      <c r="Y77" s="17"/>
      <c r="Z77" s="17"/>
      <c r="AA77" s="17"/>
      <c r="AB77" s="17"/>
      <c r="AC77" s="17"/>
      <c r="AD77" s="17"/>
      <c r="AE77" s="17"/>
      <c r="AF77" s="17"/>
    </row>
    <row r="78" ht="15.75" customHeight="1">
      <c r="A78" s="17"/>
      <c r="B78" s="125">
        <v>13.0</v>
      </c>
      <c r="C78" s="170" t="str">
        <f>IF('INPUT DATA'!Q23="","",'INPUT DATA'!Q23)</f>
        <v/>
      </c>
      <c r="D78" s="172"/>
      <c r="E78" s="163"/>
      <c r="F78" s="177" t="str">
        <f>IF('INPUT DATA'!T23="","",'INPUT DATA'!T23)</f>
        <v/>
      </c>
      <c r="G78" s="163"/>
      <c r="H78" s="176" t="str">
        <f>IF('INPUT DATA'!S23="","",'INPUT DATA'!S23)</f>
        <v/>
      </c>
      <c r="I78" s="129" t="str">
        <f t="shared" si="4"/>
        <v/>
      </c>
      <c r="J78" s="132"/>
      <c r="K78" s="131"/>
      <c r="L78" s="130"/>
      <c r="M78" s="130"/>
      <c r="N78" s="130"/>
      <c r="O78" s="130"/>
      <c r="P78" s="174"/>
      <c r="Q78" s="174"/>
      <c r="R78" s="174"/>
      <c r="S78" s="174"/>
      <c r="T78" s="122" t="str">
        <f t="shared" si="5"/>
        <v/>
      </c>
      <c r="U78" s="123" t="str">
        <f t="shared" si="6"/>
        <v/>
      </c>
      <c r="V78" s="17"/>
      <c r="W78" s="17"/>
      <c r="X78" s="17"/>
      <c r="Y78" s="17"/>
      <c r="Z78" s="17"/>
      <c r="AA78" s="17"/>
      <c r="AB78" s="17"/>
      <c r="AC78" s="17"/>
      <c r="AD78" s="17"/>
      <c r="AE78" s="17"/>
      <c r="AF78" s="17"/>
    </row>
    <row r="79" ht="15.75" customHeight="1">
      <c r="A79" s="17"/>
      <c r="B79" s="125">
        <v>14.0</v>
      </c>
      <c r="C79" s="170" t="str">
        <f>IF('INPUT DATA'!Q24="","",'INPUT DATA'!Q24)</f>
        <v/>
      </c>
      <c r="D79" s="172"/>
      <c r="E79" s="163"/>
      <c r="F79" s="177" t="str">
        <f>IF('INPUT DATA'!T24="","",'INPUT DATA'!T24)</f>
        <v/>
      </c>
      <c r="G79" s="163"/>
      <c r="H79" s="176" t="str">
        <f>IF('INPUT DATA'!S24="","",'INPUT DATA'!S24)</f>
        <v/>
      </c>
      <c r="I79" s="129" t="str">
        <f t="shared" si="4"/>
        <v/>
      </c>
      <c r="J79" s="132"/>
      <c r="K79" s="131"/>
      <c r="L79" s="130"/>
      <c r="M79" s="130"/>
      <c r="N79" s="130"/>
      <c r="O79" s="130"/>
      <c r="P79" s="174"/>
      <c r="Q79" s="174"/>
      <c r="R79" s="174"/>
      <c r="S79" s="174"/>
      <c r="T79" s="122" t="str">
        <f t="shared" si="5"/>
        <v/>
      </c>
      <c r="U79" s="123" t="str">
        <f t="shared" si="6"/>
        <v/>
      </c>
      <c r="V79" s="17"/>
      <c r="W79" s="17"/>
      <c r="X79" s="17"/>
      <c r="Y79" s="17"/>
      <c r="Z79" s="17"/>
      <c r="AA79" s="17"/>
      <c r="AB79" s="17"/>
      <c r="AC79" s="17"/>
      <c r="AD79" s="17"/>
      <c r="AE79" s="17"/>
      <c r="AF79" s="17"/>
    </row>
    <row r="80" ht="15.75" customHeight="1">
      <c r="A80" s="17"/>
      <c r="B80" s="125">
        <v>15.0</v>
      </c>
      <c r="C80" s="170" t="str">
        <f>IF('INPUT DATA'!Q25="","",'INPUT DATA'!Q25)</f>
        <v/>
      </c>
      <c r="D80" s="172"/>
      <c r="E80" s="163"/>
      <c r="F80" s="177" t="str">
        <f>IF('INPUT DATA'!T25="","",'INPUT DATA'!T25)</f>
        <v/>
      </c>
      <c r="G80" s="163"/>
      <c r="H80" s="176" t="str">
        <f>IF('INPUT DATA'!S25="","",'INPUT DATA'!S25)</f>
        <v/>
      </c>
      <c r="I80" s="129" t="str">
        <f t="shared" si="4"/>
        <v/>
      </c>
      <c r="J80" s="132"/>
      <c r="K80" s="131"/>
      <c r="L80" s="130"/>
      <c r="M80" s="130"/>
      <c r="N80" s="130"/>
      <c r="O80" s="130"/>
      <c r="P80" s="174"/>
      <c r="Q80" s="174"/>
      <c r="R80" s="174"/>
      <c r="S80" s="174"/>
      <c r="T80" s="122" t="str">
        <f t="shared" si="5"/>
        <v/>
      </c>
      <c r="U80" s="123" t="str">
        <f t="shared" si="6"/>
        <v/>
      </c>
      <c r="V80" s="17"/>
      <c r="W80" s="17"/>
      <c r="X80" s="17"/>
      <c r="Y80" s="17"/>
      <c r="Z80" s="17"/>
      <c r="AA80" s="17"/>
      <c r="AB80" s="17"/>
      <c r="AC80" s="17"/>
      <c r="AD80" s="17"/>
      <c r="AE80" s="17"/>
      <c r="AF80" s="17"/>
    </row>
    <row r="81" ht="15.75" customHeight="1">
      <c r="A81" s="17"/>
      <c r="B81" s="125">
        <v>16.0</v>
      </c>
      <c r="C81" s="170" t="str">
        <f>IF('INPUT DATA'!Q26="","",'INPUT DATA'!Q26)</f>
        <v/>
      </c>
      <c r="D81" s="172"/>
      <c r="E81" s="163"/>
      <c r="F81" s="177" t="str">
        <f>IF('INPUT DATA'!T26="","",'INPUT DATA'!T26)</f>
        <v/>
      </c>
      <c r="G81" s="163"/>
      <c r="H81" s="176" t="str">
        <f>IF('INPUT DATA'!S26="","",'INPUT DATA'!S26)</f>
        <v/>
      </c>
      <c r="I81" s="129" t="str">
        <f t="shared" si="4"/>
        <v/>
      </c>
      <c r="J81" s="132"/>
      <c r="K81" s="131"/>
      <c r="L81" s="130"/>
      <c r="M81" s="130"/>
      <c r="N81" s="130"/>
      <c r="O81" s="130"/>
      <c r="P81" s="174"/>
      <c r="Q81" s="174"/>
      <c r="R81" s="174"/>
      <c r="S81" s="174"/>
      <c r="T81" s="122" t="str">
        <f t="shared" si="5"/>
        <v/>
      </c>
      <c r="U81" s="123" t="str">
        <f t="shared" si="6"/>
        <v/>
      </c>
      <c r="V81" s="17"/>
      <c r="W81" s="17"/>
      <c r="X81" s="17"/>
      <c r="Y81" s="17"/>
      <c r="Z81" s="17"/>
      <c r="AA81" s="17"/>
      <c r="AB81" s="17"/>
      <c r="AC81" s="17"/>
      <c r="AD81" s="17"/>
      <c r="AE81" s="17"/>
      <c r="AF81" s="17"/>
    </row>
    <row r="82" ht="15.75" customHeight="1">
      <c r="A82" s="17"/>
      <c r="B82" s="125">
        <v>17.0</v>
      </c>
      <c r="C82" s="170" t="str">
        <f>IF('INPUT DATA'!Q27="","",'INPUT DATA'!Q27)</f>
        <v/>
      </c>
      <c r="D82" s="172"/>
      <c r="E82" s="163"/>
      <c r="F82" s="177" t="str">
        <f>IF('INPUT DATA'!T27="","",'INPUT DATA'!T27)</f>
        <v/>
      </c>
      <c r="G82" s="163"/>
      <c r="H82" s="176" t="str">
        <f>IF('INPUT DATA'!S27="","",'INPUT DATA'!S27)</f>
        <v/>
      </c>
      <c r="I82" s="129" t="str">
        <f t="shared" si="4"/>
        <v/>
      </c>
      <c r="J82" s="132"/>
      <c r="K82" s="131"/>
      <c r="L82" s="130"/>
      <c r="M82" s="130"/>
      <c r="N82" s="130"/>
      <c r="O82" s="130"/>
      <c r="P82" s="174"/>
      <c r="Q82" s="174"/>
      <c r="R82" s="174"/>
      <c r="S82" s="174"/>
      <c r="T82" s="122" t="str">
        <f t="shared" si="5"/>
        <v/>
      </c>
      <c r="U82" s="123" t="str">
        <f t="shared" si="6"/>
        <v/>
      </c>
      <c r="V82" s="17"/>
      <c r="W82" s="17"/>
      <c r="X82" s="17"/>
      <c r="Y82" s="17"/>
      <c r="Z82" s="17"/>
      <c r="AA82" s="17"/>
      <c r="AB82" s="17"/>
      <c r="AC82" s="17"/>
      <c r="AD82" s="17"/>
      <c r="AE82" s="17"/>
      <c r="AF82" s="17"/>
    </row>
    <row r="83" ht="15.75" customHeight="1">
      <c r="A83" s="17"/>
      <c r="B83" s="125">
        <v>18.0</v>
      </c>
      <c r="C83" s="170" t="str">
        <f>IF('INPUT DATA'!Q28="","",'INPUT DATA'!Q28)</f>
        <v/>
      </c>
      <c r="D83" s="172"/>
      <c r="E83" s="163"/>
      <c r="F83" s="177" t="str">
        <f>IF('INPUT DATA'!T28="","",'INPUT DATA'!T28)</f>
        <v/>
      </c>
      <c r="G83" s="163"/>
      <c r="H83" s="176" t="str">
        <f>IF('INPUT DATA'!S28="","",'INPUT DATA'!S28)</f>
        <v/>
      </c>
      <c r="I83" s="129" t="str">
        <f t="shared" si="4"/>
        <v/>
      </c>
      <c r="J83" s="132"/>
      <c r="K83" s="131"/>
      <c r="L83" s="130"/>
      <c r="M83" s="130"/>
      <c r="N83" s="130"/>
      <c r="O83" s="130"/>
      <c r="P83" s="174"/>
      <c r="Q83" s="174"/>
      <c r="R83" s="174"/>
      <c r="S83" s="174"/>
      <c r="T83" s="122" t="str">
        <f t="shared" si="5"/>
        <v/>
      </c>
      <c r="U83" s="123" t="str">
        <f t="shared" si="6"/>
        <v/>
      </c>
      <c r="V83" s="17"/>
      <c r="W83" s="17"/>
      <c r="X83" s="17"/>
      <c r="Y83" s="17"/>
      <c r="Z83" s="17"/>
      <c r="AA83" s="17"/>
      <c r="AB83" s="17"/>
      <c r="AC83" s="17"/>
      <c r="AD83" s="17"/>
      <c r="AE83" s="17"/>
      <c r="AF83" s="17"/>
    </row>
    <row r="84" ht="15.75" customHeight="1">
      <c r="A84" s="17"/>
      <c r="B84" s="125">
        <v>19.0</v>
      </c>
      <c r="C84" s="170" t="str">
        <f>IF('INPUT DATA'!Q29="","",'INPUT DATA'!Q29)</f>
        <v/>
      </c>
      <c r="D84" s="172"/>
      <c r="E84" s="163"/>
      <c r="F84" s="177" t="str">
        <f>IF('INPUT DATA'!T29="","",'INPUT DATA'!T29)</f>
        <v/>
      </c>
      <c r="G84" s="163"/>
      <c r="H84" s="176" t="str">
        <f>IF('INPUT DATA'!S29="","",'INPUT DATA'!S29)</f>
        <v/>
      </c>
      <c r="I84" s="129" t="str">
        <f t="shared" si="4"/>
        <v/>
      </c>
      <c r="J84" s="132"/>
      <c r="K84" s="131"/>
      <c r="L84" s="130"/>
      <c r="M84" s="130"/>
      <c r="N84" s="130"/>
      <c r="O84" s="130"/>
      <c r="P84" s="174"/>
      <c r="Q84" s="174"/>
      <c r="R84" s="174"/>
      <c r="S84" s="174"/>
      <c r="T84" s="122" t="str">
        <f t="shared" si="5"/>
        <v/>
      </c>
      <c r="U84" s="123" t="str">
        <f t="shared" si="6"/>
        <v/>
      </c>
      <c r="V84" s="17"/>
      <c r="W84" s="17"/>
      <c r="X84" s="17"/>
      <c r="Y84" s="17"/>
      <c r="Z84" s="17"/>
      <c r="AA84" s="17"/>
      <c r="AB84" s="17"/>
      <c r="AC84" s="17"/>
      <c r="AD84" s="17"/>
      <c r="AE84" s="17"/>
      <c r="AF84" s="17"/>
    </row>
    <row r="85" ht="15.75" customHeight="1">
      <c r="A85" s="17"/>
      <c r="B85" s="135">
        <v>20.0</v>
      </c>
      <c r="C85" s="170" t="str">
        <f>IF('INPUT DATA'!Q30="","",'INPUT DATA'!Q30)</f>
        <v/>
      </c>
      <c r="D85" s="172"/>
      <c r="E85" s="163"/>
      <c r="F85" s="177" t="str">
        <f>IF('INPUT DATA'!T30="","",'INPUT DATA'!T30)</f>
        <v/>
      </c>
      <c r="G85" s="163"/>
      <c r="H85" s="176" t="str">
        <f>IF('INPUT DATA'!S30="","",'INPUT DATA'!S30)</f>
        <v/>
      </c>
      <c r="I85" s="129" t="str">
        <f t="shared" si="4"/>
        <v/>
      </c>
      <c r="J85" s="132"/>
      <c r="K85" s="136"/>
      <c r="L85" s="137"/>
      <c r="M85" s="137"/>
      <c r="N85" s="137"/>
      <c r="O85" s="137"/>
      <c r="P85" s="178"/>
      <c r="Q85" s="178"/>
      <c r="R85" s="178"/>
      <c r="S85" s="178"/>
      <c r="T85" s="122" t="str">
        <f t="shared" si="5"/>
        <v/>
      </c>
      <c r="U85" s="123" t="str">
        <f t="shared" si="6"/>
        <v/>
      </c>
      <c r="V85" s="17"/>
      <c r="W85" s="17"/>
      <c r="X85" s="17"/>
      <c r="Y85" s="17"/>
      <c r="Z85" s="17"/>
      <c r="AA85" s="17"/>
      <c r="AB85" s="17"/>
      <c r="AC85" s="17"/>
      <c r="AD85" s="17"/>
      <c r="AE85" s="17"/>
      <c r="AF85" s="17"/>
    </row>
    <row r="86" ht="15.75" customHeight="1">
      <c r="A86" s="17"/>
      <c r="B86" s="135">
        <v>21.0</v>
      </c>
      <c r="C86" s="170" t="str">
        <f>IF('INPUT DATA'!Q31="","",'INPUT DATA'!Q31)</f>
        <v/>
      </c>
      <c r="D86" s="172"/>
      <c r="E86" s="163"/>
      <c r="F86" s="177" t="str">
        <f>IF('INPUT DATA'!T31="","",'INPUT DATA'!T31)</f>
        <v/>
      </c>
      <c r="G86" s="163"/>
      <c r="H86" s="176" t="str">
        <f>IF('INPUT DATA'!S31="","",'INPUT DATA'!S31)</f>
        <v/>
      </c>
      <c r="I86" s="129" t="str">
        <f t="shared" si="4"/>
        <v/>
      </c>
      <c r="J86" s="132"/>
      <c r="K86" s="131"/>
      <c r="L86" s="130"/>
      <c r="M86" s="130"/>
      <c r="N86" s="130"/>
      <c r="O86" s="130"/>
      <c r="P86" s="174"/>
      <c r="Q86" s="174"/>
      <c r="R86" s="174"/>
      <c r="S86" s="174"/>
      <c r="T86" s="122" t="str">
        <f t="shared" si="5"/>
        <v/>
      </c>
      <c r="U86" s="123" t="str">
        <f t="shared" si="6"/>
        <v/>
      </c>
      <c r="V86" s="17"/>
      <c r="W86" s="17"/>
      <c r="X86" s="17"/>
      <c r="Y86" s="17"/>
      <c r="Z86" s="17"/>
      <c r="AA86" s="17"/>
      <c r="AB86" s="17"/>
      <c r="AC86" s="17"/>
      <c r="AD86" s="17"/>
      <c r="AE86" s="17"/>
      <c r="AF86" s="17"/>
    </row>
    <row r="87" ht="15.75" customHeight="1">
      <c r="A87" s="17"/>
      <c r="B87" s="135">
        <v>22.0</v>
      </c>
      <c r="C87" s="170" t="str">
        <f>IF('INPUT DATA'!Q32="","",'INPUT DATA'!Q32)</f>
        <v/>
      </c>
      <c r="D87" s="172"/>
      <c r="E87" s="163"/>
      <c r="F87" s="177" t="str">
        <f>IF('INPUT DATA'!T32="","",'INPUT DATA'!T32)</f>
        <v/>
      </c>
      <c r="G87" s="163"/>
      <c r="H87" s="176" t="str">
        <f>IF('INPUT DATA'!S32="","",'INPUT DATA'!S32)</f>
        <v/>
      </c>
      <c r="I87" s="129" t="str">
        <f t="shared" si="4"/>
        <v/>
      </c>
      <c r="J87" s="132"/>
      <c r="K87" s="131"/>
      <c r="L87" s="130"/>
      <c r="M87" s="130"/>
      <c r="N87" s="130"/>
      <c r="O87" s="130"/>
      <c r="P87" s="174"/>
      <c r="Q87" s="174"/>
      <c r="R87" s="174"/>
      <c r="S87" s="174"/>
      <c r="T87" s="122" t="str">
        <f t="shared" si="5"/>
        <v/>
      </c>
      <c r="U87" s="123" t="str">
        <f t="shared" si="6"/>
        <v/>
      </c>
      <c r="V87" s="17"/>
      <c r="W87" s="17"/>
      <c r="X87" s="17"/>
      <c r="Y87" s="17"/>
      <c r="Z87" s="17"/>
      <c r="AA87" s="17"/>
      <c r="AB87" s="17"/>
      <c r="AC87" s="17"/>
      <c r="AD87" s="17"/>
      <c r="AE87" s="17"/>
      <c r="AF87" s="17"/>
    </row>
    <row r="88" ht="15.75" customHeight="1">
      <c r="A88" s="17"/>
      <c r="B88" s="135">
        <v>23.0</v>
      </c>
      <c r="C88" s="170" t="str">
        <f>IF('INPUT DATA'!Q33="","",'INPUT DATA'!Q33)</f>
        <v/>
      </c>
      <c r="D88" s="172"/>
      <c r="E88" s="163"/>
      <c r="F88" s="177" t="str">
        <f>IF('INPUT DATA'!T33="","",'INPUT DATA'!T33)</f>
        <v/>
      </c>
      <c r="G88" s="163"/>
      <c r="H88" s="176" t="str">
        <f>IF('INPUT DATA'!S33="","",'INPUT DATA'!S33)</f>
        <v/>
      </c>
      <c r="I88" s="129" t="str">
        <f t="shared" si="4"/>
        <v/>
      </c>
      <c r="J88" s="132"/>
      <c r="K88" s="131"/>
      <c r="L88" s="130"/>
      <c r="M88" s="130"/>
      <c r="N88" s="130"/>
      <c r="O88" s="130"/>
      <c r="P88" s="174"/>
      <c r="Q88" s="174"/>
      <c r="R88" s="174"/>
      <c r="S88" s="174"/>
      <c r="T88" s="122" t="str">
        <f t="shared" si="5"/>
        <v/>
      </c>
      <c r="U88" s="123" t="str">
        <f t="shared" si="6"/>
        <v/>
      </c>
      <c r="V88" s="17"/>
      <c r="W88" s="17"/>
      <c r="X88" s="17"/>
      <c r="Y88" s="17"/>
      <c r="Z88" s="17"/>
      <c r="AA88" s="17"/>
      <c r="AB88" s="17"/>
      <c r="AC88" s="17"/>
      <c r="AD88" s="17"/>
      <c r="AE88" s="17"/>
      <c r="AF88" s="17"/>
    </row>
    <row r="89" ht="15.75" customHeight="1">
      <c r="A89" s="17"/>
      <c r="B89" s="135">
        <v>24.0</v>
      </c>
      <c r="C89" s="170" t="str">
        <f>IF('INPUT DATA'!Q34="","",'INPUT DATA'!Q34)</f>
        <v/>
      </c>
      <c r="D89" s="172"/>
      <c r="E89" s="163"/>
      <c r="F89" s="177" t="str">
        <f>IF('INPUT DATA'!T34="","",'INPUT DATA'!T34)</f>
        <v/>
      </c>
      <c r="G89" s="163"/>
      <c r="H89" s="176" t="str">
        <f>IF('INPUT DATA'!S34="","",'INPUT DATA'!S34)</f>
        <v/>
      </c>
      <c r="I89" s="129" t="str">
        <f t="shared" si="4"/>
        <v/>
      </c>
      <c r="J89" s="132"/>
      <c r="K89" s="131"/>
      <c r="L89" s="130"/>
      <c r="M89" s="130"/>
      <c r="N89" s="130"/>
      <c r="O89" s="130"/>
      <c r="P89" s="174"/>
      <c r="Q89" s="174"/>
      <c r="R89" s="174"/>
      <c r="S89" s="174"/>
      <c r="T89" s="122" t="str">
        <f t="shared" si="5"/>
        <v/>
      </c>
      <c r="U89" s="123" t="str">
        <f t="shared" si="6"/>
        <v/>
      </c>
      <c r="V89" s="17"/>
      <c r="W89" s="17"/>
      <c r="X89" s="17"/>
      <c r="Y89" s="17"/>
      <c r="Z89" s="17"/>
      <c r="AA89" s="17"/>
      <c r="AB89" s="17"/>
      <c r="AC89" s="17"/>
      <c r="AD89" s="17"/>
      <c r="AE89" s="17"/>
      <c r="AF89" s="17"/>
    </row>
    <row r="90" ht="15.75" customHeight="1">
      <c r="A90" s="17"/>
      <c r="B90" s="135">
        <v>25.0</v>
      </c>
      <c r="C90" s="170" t="str">
        <f>IF('INPUT DATA'!Q35="","",'INPUT DATA'!Q35)</f>
        <v/>
      </c>
      <c r="D90" s="172"/>
      <c r="E90" s="163"/>
      <c r="F90" s="177" t="str">
        <f>IF('INPUT DATA'!T35="","",'INPUT DATA'!T35)</f>
        <v/>
      </c>
      <c r="G90" s="163"/>
      <c r="H90" s="176" t="str">
        <f>IF('INPUT DATA'!S35="","",'INPUT DATA'!S35)</f>
        <v/>
      </c>
      <c r="I90" s="129" t="str">
        <f t="shared" si="4"/>
        <v/>
      </c>
      <c r="J90" s="132"/>
      <c r="K90" s="131"/>
      <c r="L90" s="130"/>
      <c r="M90" s="130"/>
      <c r="N90" s="130"/>
      <c r="O90" s="130"/>
      <c r="P90" s="174"/>
      <c r="Q90" s="174"/>
      <c r="R90" s="174"/>
      <c r="S90" s="174"/>
      <c r="T90" s="122" t="str">
        <f t="shared" si="5"/>
        <v/>
      </c>
      <c r="U90" s="123" t="str">
        <f t="shared" si="6"/>
        <v/>
      </c>
      <c r="V90" s="17"/>
      <c r="W90" s="17"/>
      <c r="X90" s="17"/>
      <c r="Y90" s="17"/>
      <c r="Z90" s="17"/>
      <c r="AA90" s="17"/>
      <c r="AB90" s="17"/>
      <c r="AC90" s="17"/>
      <c r="AD90" s="17"/>
      <c r="AE90" s="17"/>
      <c r="AF90" s="17"/>
    </row>
    <row r="91" ht="15.75" customHeight="1">
      <c r="A91" s="17"/>
      <c r="B91" s="135">
        <v>26.0</v>
      </c>
      <c r="C91" s="170" t="str">
        <f>IF('INPUT DATA'!Q36="","",'INPUT DATA'!Q36)</f>
        <v/>
      </c>
      <c r="D91" s="172"/>
      <c r="E91" s="163"/>
      <c r="F91" s="177" t="str">
        <f>IF('INPUT DATA'!T36="","",'INPUT DATA'!T36)</f>
        <v/>
      </c>
      <c r="G91" s="163"/>
      <c r="H91" s="176" t="str">
        <f>IF('INPUT DATA'!S36="","",'INPUT DATA'!S36)</f>
        <v/>
      </c>
      <c r="I91" s="129" t="str">
        <f t="shared" si="4"/>
        <v/>
      </c>
      <c r="J91" s="132"/>
      <c r="K91" s="131"/>
      <c r="L91" s="130"/>
      <c r="M91" s="130"/>
      <c r="N91" s="130"/>
      <c r="O91" s="130"/>
      <c r="P91" s="174"/>
      <c r="Q91" s="174"/>
      <c r="R91" s="174"/>
      <c r="S91" s="174"/>
      <c r="T91" s="122" t="str">
        <f t="shared" si="5"/>
        <v/>
      </c>
      <c r="U91" s="123" t="str">
        <f t="shared" si="6"/>
        <v/>
      </c>
      <c r="V91" s="17"/>
      <c r="W91" s="17"/>
      <c r="X91" s="17"/>
      <c r="Y91" s="17"/>
      <c r="Z91" s="17"/>
      <c r="AA91" s="17"/>
      <c r="AB91" s="17"/>
      <c r="AC91" s="17"/>
      <c r="AD91" s="17"/>
      <c r="AE91" s="17"/>
      <c r="AF91" s="17"/>
    </row>
    <row r="92" ht="15.75" customHeight="1">
      <c r="A92" s="17"/>
      <c r="B92" s="135">
        <v>27.0</v>
      </c>
      <c r="C92" s="170" t="str">
        <f>IF('INPUT DATA'!Q37="","",'INPUT DATA'!Q37)</f>
        <v/>
      </c>
      <c r="D92" s="172"/>
      <c r="E92" s="163"/>
      <c r="F92" s="177" t="str">
        <f>IF('INPUT DATA'!T37="","",'INPUT DATA'!T37)</f>
        <v/>
      </c>
      <c r="G92" s="163"/>
      <c r="H92" s="176" t="str">
        <f>IF('INPUT DATA'!S37="","",'INPUT DATA'!S37)</f>
        <v/>
      </c>
      <c r="I92" s="129" t="str">
        <f t="shared" si="4"/>
        <v/>
      </c>
      <c r="J92" s="132"/>
      <c r="K92" s="131"/>
      <c r="L92" s="130"/>
      <c r="M92" s="130"/>
      <c r="N92" s="130"/>
      <c r="O92" s="130"/>
      <c r="P92" s="174"/>
      <c r="Q92" s="174"/>
      <c r="R92" s="174"/>
      <c r="S92" s="174"/>
      <c r="T92" s="122" t="str">
        <f t="shared" si="5"/>
        <v/>
      </c>
      <c r="U92" s="123" t="str">
        <f t="shared" si="6"/>
        <v/>
      </c>
      <c r="V92" s="17"/>
      <c r="W92" s="17"/>
      <c r="X92" s="17"/>
      <c r="Y92" s="17"/>
      <c r="Z92" s="17"/>
      <c r="AA92" s="17"/>
      <c r="AB92" s="17"/>
      <c r="AC92" s="17"/>
      <c r="AD92" s="17"/>
      <c r="AE92" s="17"/>
      <c r="AF92" s="17"/>
    </row>
    <row r="93" ht="15.75" customHeight="1">
      <c r="A93" s="17"/>
      <c r="B93" s="135">
        <v>28.0</v>
      </c>
      <c r="C93" s="170" t="str">
        <f>IF('INPUT DATA'!Q38="","",'INPUT DATA'!Q38)</f>
        <v/>
      </c>
      <c r="D93" s="172"/>
      <c r="E93" s="163"/>
      <c r="F93" s="177" t="str">
        <f>IF('INPUT DATA'!T38="","",'INPUT DATA'!T38)</f>
        <v/>
      </c>
      <c r="G93" s="163"/>
      <c r="H93" s="176" t="str">
        <f>IF('INPUT DATA'!S38="","",'INPUT DATA'!S38)</f>
        <v/>
      </c>
      <c r="I93" s="129" t="str">
        <f t="shared" si="4"/>
        <v/>
      </c>
      <c r="J93" s="132"/>
      <c r="K93" s="131"/>
      <c r="L93" s="130"/>
      <c r="M93" s="130"/>
      <c r="N93" s="130"/>
      <c r="O93" s="130"/>
      <c r="P93" s="174"/>
      <c r="Q93" s="174"/>
      <c r="R93" s="174"/>
      <c r="S93" s="174"/>
      <c r="T93" s="122" t="str">
        <f t="shared" si="5"/>
        <v/>
      </c>
      <c r="U93" s="123" t="str">
        <f t="shared" si="6"/>
        <v/>
      </c>
      <c r="V93" s="17"/>
      <c r="W93" s="17"/>
      <c r="X93" s="17"/>
      <c r="Y93" s="17"/>
      <c r="Z93" s="17"/>
      <c r="AA93" s="17"/>
      <c r="AB93" s="17"/>
      <c r="AC93" s="17"/>
      <c r="AD93" s="17"/>
      <c r="AE93" s="17"/>
      <c r="AF93" s="17"/>
    </row>
    <row r="94" ht="15.75" customHeight="1">
      <c r="A94" s="17"/>
      <c r="B94" s="135">
        <v>29.0</v>
      </c>
      <c r="C94" s="170" t="str">
        <f>IF('INPUT DATA'!Q39="","",'INPUT DATA'!Q39)</f>
        <v/>
      </c>
      <c r="D94" s="172"/>
      <c r="E94" s="163"/>
      <c r="F94" s="177" t="str">
        <f>IF('INPUT DATA'!T39="","",'INPUT DATA'!T39)</f>
        <v/>
      </c>
      <c r="G94" s="163"/>
      <c r="H94" s="176" t="str">
        <f>IF('INPUT DATA'!S39="","",'INPUT DATA'!S39)</f>
        <v/>
      </c>
      <c r="I94" s="129" t="str">
        <f t="shared" si="4"/>
        <v/>
      </c>
      <c r="J94" s="132"/>
      <c r="K94" s="131"/>
      <c r="L94" s="130"/>
      <c r="M94" s="130"/>
      <c r="N94" s="130"/>
      <c r="O94" s="130"/>
      <c r="P94" s="174"/>
      <c r="Q94" s="174"/>
      <c r="R94" s="174"/>
      <c r="S94" s="174"/>
      <c r="T94" s="122" t="str">
        <f t="shared" si="5"/>
        <v/>
      </c>
      <c r="U94" s="123" t="str">
        <f t="shared" si="6"/>
        <v/>
      </c>
      <c r="V94" s="17"/>
      <c r="W94" s="17"/>
      <c r="X94" s="17"/>
      <c r="Y94" s="17"/>
      <c r="Z94" s="17"/>
      <c r="AA94" s="17"/>
      <c r="AB94" s="17"/>
      <c r="AC94" s="17"/>
      <c r="AD94" s="17"/>
      <c r="AE94" s="17"/>
      <c r="AF94" s="17"/>
    </row>
    <row r="95" ht="15.75" customHeight="1">
      <c r="A95" s="17"/>
      <c r="B95" s="135">
        <v>30.0</v>
      </c>
      <c r="C95" s="170" t="str">
        <f>IF('INPUT DATA'!Q40="","",'INPUT DATA'!Q40)</f>
        <v/>
      </c>
      <c r="D95" s="172"/>
      <c r="E95" s="163"/>
      <c r="F95" s="177" t="str">
        <f>IF('INPUT DATA'!T40="","",'INPUT DATA'!T40)</f>
        <v/>
      </c>
      <c r="G95" s="163"/>
      <c r="H95" s="176" t="str">
        <f>IF('INPUT DATA'!S40="","",'INPUT DATA'!S40)</f>
        <v/>
      </c>
      <c r="I95" s="129" t="str">
        <f t="shared" si="4"/>
        <v/>
      </c>
      <c r="J95" s="132"/>
      <c r="K95" s="131"/>
      <c r="L95" s="130"/>
      <c r="M95" s="130"/>
      <c r="N95" s="130"/>
      <c r="O95" s="130"/>
      <c r="P95" s="174"/>
      <c r="Q95" s="174"/>
      <c r="R95" s="174"/>
      <c r="S95" s="174"/>
      <c r="T95" s="122" t="str">
        <f t="shared" si="5"/>
        <v/>
      </c>
      <c r="U95" s="123" t="str">
        <f t="shared" si="6"/>
        <v/>
      </c>
      <c r="V95" s="17"/>
      <c r="W95" s="17"/>
      <c r="X95" s="17"/>
      <c r="Y95" s="17"/>
      <c r="Z95" s="17"/>
      <c r="AA95" s="17"/>
      <c r="AB95" s="17"/>
      <c r="AC95" s="17"/>
      <c r="AD95" s="17"/>
      <c r="AE95" s="17"/>
      <c r="AF95" s="17"/>
    </row>
    <row r="96" ht="15.75" customHeight="1">
      <c r="A96" s="17"/>
      <c r="B96" s="135">
        <v>31.0</v>
      </c>
      <c r="C96" s="170" t="str">
        <f>IF('INPUT DATA'!Q41="","",'INPUT DATA'!Q41)</f>
        <v/>
      </c>
      <c r="D96" s="172"/>
      <c r="E96" s="163"/>
      <c r="F96" s="177" t="str">
        <f>IF('INPUT DATA'!T41="","",'INPUT DATA'!T41)</f>
        <v/>
      </c>
      <c r="G96" s="163"/>
      <c r="H96" s="176" t="str">
        <f>IF('INPUT DATA'!S41="","",'INPUT DATA'!S41)</f>
        <v/>
      </c>
      <c r="I96" s="129" t="str">
        <f t="shared" si="4"/>
        <v/>
      </c>
      <c r="J96" s="132"/>
      <c r="K96" s="131"/>
      <c r="L96" s="130"/>
      <c r="M96" s="130"/>
      <c r="N96" s="130"/>
      <c r="O96" s="130"/>
      <c r="P96" s="174"/>
      <c r="Q96" s="174"/>
      <c r="R96" s="174"/>
      <c r="S96" s="174"/>
      <c r="T96" s="122" t="str">
        <f t="shared" si="5"/>
        <v/>
      </c>
      <c r="U96" s="123" t="str">
        <f t="shared" si="6"/>
        <v/>
      </c>
      <c r="V96" s="17"/>
      <c r="W96" s="17"/>
      <c r="X96" s="17"/>
      <c r="Y96" s="17"/>
      <c r="Z96" s="17"/>
      <c r="AA96" s="17"/>
      <c r="AB96" s="17"/>
      <c r="AC96" s="17"/>
      <c r="AD96" s="17"/>
      <c r="AE96" s="17"/>
      <c r="AF96" s="17"/>
    </row>
    <row r="97" ht="15.75" customHeight="1">
      <c r="A97" s="17"/>
      <c r="B97" s="135">
        <v>32.0</v>
      </c>
      <c r="C97" s="170" t="str">
        <f>IF('INPUT DATA'!Q42="","",'INPUT DATA'!Q42)</f>
        <v/>
      </c>
      <c r="D97" s="172"/>
      <c r="E97" s="163"/>
      <c r="F97" s="177" t="str">
        <f>IF('INPUT DATA'!T42="","",'INPUT DATA'!T42)</f>
        <v/>
      </c>
      <c r="G97" s="163"/>
      <c r="H97" s="176" t="str">
        <f>IF('INPUT DATA'!S42="","",'INPUT DATA'!S42)</f>
        <v/>
      </c>
      <c r="I97" s="129" t="str">
        <f t="shared" si="4"/>
        <v/>
      </c>
      <c r="J97" s="132"/>
      <c r="K97" s="131"/>
      <c r="L97" s="130"/>
      <c r="M97" s="130"/>
      <c r="N97" s="130"/>
      <c r="O97" s="130"/>
      <c r="P97" s="174"/>
      <c r="Q97" s="174"/>
      <c r="R97" s="174"/>
      <c r="S97" s="174"/>
      <c r="T97" s="122" t="str">
        <f t="shared" si="5"/>
        <v/>
      </c>
      <c r="U97" s="123" t="str">
        <f t="shared" si="6"/>
        <v/>
      </c>
      <c r="V97" s="17"/>
      <c r="W97" s="17"/>
      <c r="X97" s="17"/>
      <c r="Y97" s="17"/>
      <c r="Z97" s="17"/>
      <c r="AA97" s="17"/>
      <c r="AB97" s="17"/>
      <c r="AC97" s="17"/>
      <c r="AD97" s="17"/>
      <c r="AE97" s="17"/>
      <c r="AF97" s="17"/>
    </row>
    <row r="98" ht="15.75" customHeight="1">
      <c r="A98" s="17"/>
      <c r="B98" s="135">
        <v>33.0</v>
      </c>
      <c r="C98" s="170" t="str">
        <f>IF('INPUT DATA'!Q43="","",'INPUT DATA'!Q43)</f>
        <v/>
      </c>
      <c r="D98" s="172"/>
      <c r="E98" s="163"/>
      <c r="F98" s="177" t="str">
        <f>IF('INPUT DATA'!T43="","",'INPUT DATA'!T43)</f>
        <v/>
      </c>
      <c r="G98" s="163"/>
      <c r="H98" s="176" t="str">
        <f>IF('INPUT DATA'!S43="","",'INPUT DATA'!S43)</f>
        <v/>
      </c>
      <c r="I98" s="129" t="str">
        <f t="shared" si="4"/>
        <v/>
      </c>
      <c r="J98" s="132"/>
      <c r="K98" s="131"/>
      <c r="L98" s="130"/>
      <c r="M98" s="130"/>
      <c r="N98" s="130"/>
      <c r="O98" s="130"/>
      <c r="P98" s="174"/>
      <c r="Q98" s="174"/>
      <c r="R98" s="174"/>
      <c r="S98" s="174"/>
      <c r="T98" s="122" t="str">
        <f t="shared" si="5"/>
        <v/>
      </c>
      <c r="U98" s="123" t="str">
        <f t="shared" si="6"/>
        <v/>
      </c>
      <c r="V98" s="17"/>
      <c r="W98" s="17"/>
      <c r="X98" s="17"/>
      <c r="Y98" s="17"/>
      <c r="Z98" s="17"/>
      <c r="AA98" s="17"/>
      <c r="AB98" s="17"/>
      <c r="AC98" s="17"/>
      <c r="AD98" s="17"/>
      <c r="AE98" s="17"/>
      <c r="AF98" s="17"/>
    </row>
    <row r="99" ht="15.75" customHeight="1">
      <c r="A99" s="17"/>
      <c r="B99" s="135">
        <v>34.0</v>
      </c>
      <c r="C99" s="170" t="str">
        <f>IF('INPUT DATA'!Q44="","",'INPUT DATA'!Q44)</f>
        <v/>
      </c>
      <c r="D99" s="172"/>
      <c r="E99" s="163"/>
      <c r="F99" s="177" t="str">
        <f>IF('INPUT DATA'!T44="","",'INPUT DATA'!T44)</f>
        <v/>
      </c>
      <c r="G99" s="163"/>
      <c r="H99" s="176" t="str">
        <f>IF('INPUT DATA'!S44="","",'INPUT DATA'!S44)</f>
        <v/>
      </c>
      <c r="I99" s="129" t="str">
        <f t="shared" si="4"/>
        <v/>
      </c>
      <c r="J99" s="132"/>
      <c r="K99" s="131"/>
      <c r="L99" s="130"/>
      <c r="M99" s="130"/>
      <c r="N99" s="130"/>
      <c r="O99" s="130"/>
      <c r="P99" s="174"/>
      <c r="Q99" s="174"/>
      <c r="R99" s="174"/>
      <c r="S99" s="174"/>
      <c r="T99" s="122" t="str">
        <f t="shared" si="5"/>
        <v/>
      </c>
      <c r="U99" s="123" t="str">
        <f t="shared" si="6"/>
        <v/>
      </c>
      <c r="V99" s="17"/>
      <c r="W99" s="17"/>
      <c r="X99" s="17"/>
      <c r="Y99" s="17"/>
      <c r="Z99" s="17"/>
      <c r="AA99" s="17"/>
      <c r="AB99" s="17"/>
      <c r="AC99" s="17"/>
      <c r="AD99" s="17"/>
      <c r="AE99" s="17"/>
      <c r="AF99" s="17"/>
    </row>
    <row r="100" ht="15.75" customHeight="1">
      <c r="A100" s="17"/>
      <c r="B100" s="135">
        <v>35.0</v>
      </c>
      <c r="C100" s="170" t="str">
        <f>IF('INPUT DATA'!Q45="","",'INPUT DATA'!Q45)</f>
        <v/>
      </c>
      <c r="D100" s="172"/>
      <c r="E100" s="163"/>
      <c r="F100" s="177" t="str">
        <f>IF('INPUT DATA'!T45="","",'INPUT DATA'!T45)</f>
        <v/>
      </c>
      <c r="G100" s="163"/>
      <c r="H100" s="176" t="str">
        <f>IF('INPUT DATA'!S45="","",'INPUT DATA'!S45)</f>
        <v/>
      </c>
      <c r="I100" s="129" t="str">
        <f t="shared" si="4"/>
        <v/>
      </c>
      <c r="J100" s="132"/>
      <c r="K100" s="131"/>
      <c r="L100" s="130"/>
      <c r="M100" s="130"/>
      <c r="N100" s="130"/>
      <c r="O100" s="130"/>
      <c r="P100" s="174"/>
      <c r="Q100" s="174"/>
      <c r="R100" s="174"/>
      <c r="S100" s="174"/>
      <c r="T100" s="122" t="str">
        <f t="shared" si="5"/>
        <v/>
      </c>
      <c r="U100" s="123" t="str">
        <f t="shared" si="6"/>
        <v/>
      </c>
      <c r="V100" s="17"/>
      <c r="W100" s="17"/>
      <c r="X100" s="17"/>
      <c r="Y100" s="17"/>
      <c r="Z100" s="17"/>
      <c r="AA100" s="17"/>
      <c r="AB100" s="17"/>
      <c r="AC100" s="17"/>
      <c r="AD100" s="17"/>
      <c r="AE100" s="17"/>
      <c r="AF100" s="17"/>
    </row>
    <row r="101" ht="15.75" customHeight="1">
      <c r="A101" s="17"/>
      <c r="B101" s="135">
        <v>36.0</v>
      </c>
      <c r="C101" s="170" t="str">
        <f>IF('INPUT DATA'!Q46="","",'INPUT DATA'!Q46)</f>
        <v/>
      </c>
      <c r="D101" s="172"/>
      <c r="E101" s="163"/>
      <c r="F101" s="177" t="str">
        <f>IF('INPUT DATA'!T46="","",'INPUT DATA'!T46)</f>
        <v/>
      </c>
      <c r="G101" s="163"/>
      <c r="H101" s="176" t="str">
        <f>IF('INPUT DATA'!S46="","",'INPUT DATA'!S46)</f>
        <v/>
      </c>
      <c r="I101" s="129" t="str">
        <f t="shared" si="4"/>
        <v/>
      </c>
      <c r="J101" s="132"/>
      <c r="K101" s="131"/>
      <c r="L101" s="130"/>
      <c r="M101" s="130"/>
      <c r="N101" s="130"/>
      <c r="O101" s="130"/>
      <c r="P101" s="174"/>
      <c r="Q101" s="174"/>
      <c r="R101" s="174"/>
      <c r="S101" s="174"/>
      <c r="T101" s="122" t="str">
        <f t="shared" si="5"/>
        <v/>
      </c>
      <c r="U101" s="123" t="str">
        <f t="shared" si="6"/>
        <v/>
      </c>
      <c r="V101" s="17"/>
      <c r="W101" s="17"/>
      <c r="X101" s="17"/>
      <c r="Y101" s="17"/>
      <c r="Z101" s="17"/>
      <c r="AA101" s="17"/>
      <c r="AB101" s="17"/>
      <c r="AC101" s="17"/>
      <c r="AD101" s="17"/>
      <c r="AE101" s="17"/>
      <c r="AF101" s="17"/>
    </row>
    <row r="102" ht="15.75" customHeight="1">
      <c r="A102" s="17"/>
      <c r="B102" s="135">
        <v>37.0</v>
      </c>
      <c r="C102" s="170" t="str">
        <f>IF('INPUT DATA'!Q47="","",'INPUT DATA'!Q47)</f>
        <v/>
      </c>
      <c r="D102" s="172"/>
      <c r="E102" s="163"/>
      <c r="F102" s="177" t="str">
        <f>IF('INPUT DATA'!T47="","",'INPUT DATA'!T47)</f>
        <v/>
      </c>
      <c r="G102" s="163"/>
      <c r="H102" s="176" t="str">
        <f>IF('INPUT DATA'!S47="","",'INPUT DATA'!S47)</f>
        <v/>
      </c>
      <c r="I102" s="129" t="str">
        <f t="shared" si="4"/>
        <v/>
      </c>
      <c r="J102" s="132"/>
      <c r="K102" s="131"/>
      <c r="L102" s="130"/>
      <c r="M102" s="130"/>
      <c r="N102" s="130"/>
      <c r="O102" s="130"/>
      <c r="P102" s="174"/>
      <c r="Q102" s="174"/>
      <c r="R102" s="174"/>
      <c r="S102" s="174"/>
      <c r="T102" s="122" t="str">
        <f t="shared" si="5"/>
        <v/>
      </c>
      <c r="U102" s="123" t="str">
        <f t="shared" si="6"/>
        <v/>
      </c>
      <c r="V102" s="17"/>
      <c r="W102" s="17"/>
      <c r="X102" s="17"/>
      <c r="Y102" s="17"/>
      <c r="Z102" s="17"/>
      <c r="AA102" s="17"/>
      <c r="AB102" s="17"/>
      <c r="AC102" s="17"/>
      <c r="AD102" s="17"/>
      <c r="AE102" s="17"/>
      <c r="AF102" s="17"/>
    </row>
    <row r="103" ht="15.75" customHeight="1">
      <c r="A103" s="17"/>
      <c r="B103" s="135">
        <v>38.0</v>
      </c>
      <c r="C103" s="170" t="str">
        <f>IF('INPUT DATA'!Q48="","",'INPUT DATA'!Q48)</f>
        <v/>
      </c>
      <c r="D103" s="172"/>
      <c r="E103" s="163"/>
      <c r="F103" s="177" t="str">
        <f>IF('INPUT DATA'!T48="","",'INPUT DATA'!T48)</f>
        <v/>
      </c>
      <c r="G103" s="163"/>
      <c r="H103" s="176" t="str">
        <f>IF('INPUT DATA'!S48="","",'INPUT DATA'!S48)</f>
        <v/>
      </c>
      <c r="I103" s="129" t="str">
        <f t="shared" si="4"/>
        <v/>
      </c>
      <c r="J103" s="132"/>
      <c r="K103" s="131"/>
      <c r="L103" s="130"/>
      <c r="M103" s="130"/>
      <c r="N103" s="130"/>
      <c r="O103" s="130"/>
      <c r="P103" s="174"/>
      <c r="Q103" s="174"/>
      <c r="R103" s="174"/>
      <c r="S103" s="174"/>
      <c r="T103" s="122" t="str">
        <f t="shared" si="5"/>
        <v/>
      </c>
      <c r="U103" s="123" t="str">
        <f t="shared" si="6"/>
        <v/>
      </c>
      <c r="V103" s="17"/>
      <c r="W103" s="17"/>
      <c r="X103" s="17"/>
      <c r="Y103" s="17"/>
      <c r="Z103" s="17"/>
      <c r="AA103" s="17"/>
      <c r="AB103" s="17"/>
      <c r="AC103" s="17"/>
      <c r="AD103" s="17"/>
      <c r="AE103" s="17"/>
      <c r="AF103" s="17"/>
    </row>
    <row r="104" ht="15.75" customHeight="1">
      <c r="A104" s="17"/>
      <c r="B104" s="135">
        <v>39.0</v>
      </c>
      <c r="C104" s="170" t="str">
        <f>IF('INPUT DATA'!Q49="","",'INPUT DATA'!Q49)</f>
        <v/>
      </c>
      <c r="D104" s="172"/>
      <c r="E104" s="163"/>
      <c r="F104" s="177" t="str">
        <f>IF('INPUT DATA'!T49="","",'INPUT DATA'!T49)</f>
        <v/>
      </c>
      <c r="G104" s="163"/>
      <c r="H104" s="176" t="str">
        <f>IF('INPUT DATA'!S49="","",'INPUT DATA'!S49)</f>
        <v/>
      </c>
      <c r="I104" s="129" t="str">
        <f t="shared" si="4"/>
        <v/>
      </c>
      <c r="J104" s="132"/>
      <c r="K104" s="131"/>
      <c r="L104" s="130"/>
      <c r="M104" s="130"/>
      <c r="N104" s="130"/>
      <c r="O104" s="130"/>
      <c r="P104" s="174"/>
      <c r="Q104" s="174"/>
      <c r="R104" s="174"/>
      <c r="S104" s="174"/>
      <c r="T104" s="122" t="str">
        <f t="shared" si="5"/>
        <v/>
      </c>
      <c r="U104" s="123" t="str">
        <f t="shared" si="6"/>
        <v/>
      </c>
      <c r="V104" s="17"/>
      <c r="W104" s="17"/>
      <c r="X104" s="17"/>
      <c r="Y104" s="17"/>
      <c r="Z104" s="17"/>
      <c r="AA104" s="17"/>
      <c r="AB104" s="17"/>
      <c r="AC104" s="17"/>
      <c r="AD104" s="17"/>
      <c r="AE104" s="17"/>
      <c r="AF104" s="17"/>
    </row>
    <row r="105" ht="15.75" customHeight="1">
      <c r="A105" s="17"/>
      <c r="B105" s="135">
        <v>40.0</v>
      </c>
      <c r="C105" s="170" t="str">
        <f>IF('INPUT DATA'!Q50="","",'INPUT DATA'!Q50)</f>
        <v/>
      </c>
      <c r="D105" s="172"/>
      <c r="E105" s="163"/>
      <c r="F105" s="177" t="str">
        <f>IF('INPUT DATA'!T50="","",'INPUT DATA'!T50)</f>
        <v/>
      </c>
      <c r="G105" s="163"/>
      <c r="H105" s="176" t="str">
        <f>IF('INPUT DATA'!S50="","",'INPUT DATA'!S50)</f>
        <v/>
      </c>
      <c r="I105" s="129" t="str">
        <f t="shared" si="4"/>
        <v/>
      </c>
      <c r="J105" s="132"/>
      <c r="K105" s="131"/>
      <c r="L105" s="130"/>
      <c r="M105" s="130"/>
      <c r="N105" s="130"/>
      <c r="O105" s="130"/>
      <c r="P105" s="174"/>
      <c r="Q105" s="174"/>
      <c r="R105" s="174"/>
      <c r="S105" s="174"/>
      <c r="T105" s="122" t="str">
        <f t="shared" si="5"/>
        <v/>
      </c>
      <c r="U105" s="123" t="str">
        <f t="shared" si="6"/>
        <v/>
      </c>
      <c r="V105" s="17"/>
      <c r="W105" s="17"/>
      <c r="X105" s="17"/>
      <c r="Y105" s="17"/>
      <c r="Z105" s="17"/>
      <c r="AA105" s="17"/>
      <c r="AB105" s="17"/>
      <c r="AC105" s="17"/>
      <c r="AD105" s="17"/>
      <c r="AE105" s="17"/>
      <c r="AF105" s="17"/>
    </row>
    <row r="106" ht="15.75" customHeight="1">
      <c r="A106" s="17"/>
      <c r="B106" s="135">
        <v>41.0</v>
      </c>
      <c r="C106" s="170" t="str">
        <f>IF('INPUT DATA'!Q51="","",'INPUT DATA'!Q51)</f>
        <v/>
      </c>
      <c r="D106" s="172"/>
      <c r="E106" s="163"/>
      <c r="F106" s="177" t="str">
        <f>IF('INPUT DATA'!T51="","",'INPUT DATA'!T51)</f>
        <v/>
      </c>
      <c r="G106" s="163"/>
      <c r="H106" s="176" t="str">
        <f>IF('INPUT DATA'!S51="","",'INPUT DATA'!S51)</f>
        <v/>
      </c>
      <c r="I106" s="129" t="str">
        <f t="shared" si="4"/>
        <v/>
      </c>
      <c r="J106" s="132"/>
      <c r="K106" s="131"/>
      <c r="L106" s="130"/>
      <c r="M106" s="130"/>
      <c r="N106" s="130"/>
      <c r="O106" s="130"/>
      <c r="P106" s="174"/>
      <c r="Q106" s="174"/>
      <c r="R106" s="174"/>
      <c r="S106" s="174"/>
      <c r="T106" s="122" t="str">
        <f t="shared" si="5"/>
        <v/>
      </c>
      <c r="U106" s="123" t="str">
        <f t="shared" si="6"/>
        <v/>
      </c>
      <c r="V106" s="17"/>
      <c r="W106" s="17"/>
      <c r="X106" s="17"/>
      <c r="Y106" s="17"/>
      <c r="Z106" s="17"/>
      <c r="AA106" s="17"/>
      <c r="AB106" s="17"/>
      <c r="AC106" s="17"/>
      <c r="AD106" s="17"/>
      <c r="AE106" s="17"/>
      <c r="AF106" s="17"/>
    </row>
    <row r="107" ht="15.75" customHeight="1">
      <c r="A107" s="17"/>
      <c r="B107" s="135">
        <v>42.0</v>
      </c>
      <c r="C107" s="170" t="str">
        <f>IF('INPUT DATA'!Q52="","",'INPUT DATA'!Q52)</f>
        <v/>
      </c>
      <c r="D107" s="172"/>
      <c r="E107" s="163"/>
      <c r="F107" s="177" t="str">
        <f>IF('INPUT DATA'!T52="","",'INPUT DATA'!T52)</f>
        <v/>
      </c>
      <c r="G107" s="163"/>
      <c r="H107" s="176" t="str">
        <f>IF('INPUT DATA'!S52="","",'INPUT DATA'!S52)</f>
        <v/>
      </c>
      <c r="I107" s="129" t="str">
        <f t="shared" si="4"/>
        <v/>
      </c>
      <c r="J107" s="132"/>
      <c r="K107" s="131"/>
      <c r="L107" s="130"/>
      <c r="M107" s="130"/>
      <c r="N107" s="130"/>
      <c r="O107" s="130"/>
      <c r="P107" s="174"/>
      <c r="Q107" s="174"/>
      <c r="R107" s="174"/>
      <c r="S107" s="174"/>
      <c r="T107" s="122" t="str">
        <f t="shared" si="5"/>
        <v/>
      </c>
      <c r="U107" s="123" t="str">
        <f t="shared" si="6"/>
        <v/>
      </c>
      <c r="V107" s="17"/>
      <c r="W107" s="17"/>
      <c r="X107" s="17"/>
      <c r="Y107" s="17"/>
      <c r="Z107" s="17"/>
      <c r="AA107" s="17"/>
      <c r="AB107" s="17"/>
      <c r="AC107" s="17"/>
      <c r="AD107" s="17"/>
      <c r="AE107" s="17"/>
      <c r="AF107" s="17"/>
    </row>
    <row r="108" ht="15.75" customHeight="1">
      <c r="A108" s="17"/>
      <c r="B108" s="135">
        <v>43.0</v>
      </c>
      <c r="C108" s="170" t="str">
        <f>IF('INPUT DATA'!Q53="","",'INPUT DATA'!Q53)</f>
        <v/>
      </c>
      <c r="D108" s="172"/>
      <c r="E108" s="163"/>
      <c r="F108" s="177" t="str">
        <f>IF('INPUT DATA'!T53="","",'INPUT DATA'!T53)</f>
        <v/>
      </c>
      <c r="G108" s="163"/>
      <c r="H108" s="176" t="str">
        <f>IF('INPUT DATA'!S53="","",'INPUT DATA'!S53)</f>
        <v/>
      </c>
      <c r="I108" s="129" t="str">
        <f t="shared" si="4"/>
        <v/>
      </c>
      <c r="J108" s="132"/>
      <c r="K108" s="131"/>
      <c r="L108" s="130"/>
      <c r="M108" s="130"/>
      <c r="N108" s="130"/>
      <c r="O108" s="130"/>
      <c r="P108" s="174"/>
      <c r="Q108" s="174"/>
      <c r="R108" s="174"/>
      <c r="S108" s="174"/>
      <c r="T108" s="122" t="str">
        <f t="shared" si="5"/>
        <v/>
      </c>
      <c r="U108" s="123" t="str">
        <f t="shared" si="6"/>
        <v/>
      </c>
      <c r="V108" s="17"/>
      <c r="W108" s="17"/>
      <c r="X108" s="17"/>
      <c r="Y108" s="17"/>
      <c r="Z108" s="17"/>
      <c r="AA108" s="17"/>
      <c r="AB108" s="17"/>
      <c r="AC108" s="17"/>
      <c r="AD108" s="17"/>
      <c r="AE108" s="17"/>
      <c r="AF108" s="17"/>
    </row>
    <row r="109" ht="15.75" customHeight="1">
      <c r="A109" s="17"/>
      <c r="B109" s="135">
        <v>44.0</v>
      </c>
      <c r="C109" s="170" t="str">
        <f>IF('INPUT DATA'!Q54="","",'INPUT DATA'!Q54)</f>
        <v/>
      </c>
      <c r="D109" s="172"/>
      <c r="E109" s="163"/>
      <c r="F109" s="177" t="str">
        <f>IF('INPUT DATA'!T54="","",'INPUT DATA'!T54)</f>
        <v/>
      </c>
      <c r="G109" s="163"/>
      <c r="H109" s="176" t="str">
        <f>IF('INPUT DATA'!S54="","",'INPUT DATA'!S54)</f>
        <v/>
      </c>
      <c r="I109" s="129" t="str">
        <f t="shared" si="4"/>
        <v/>
      </c>
      <c r="J109" s="132"/>
      <c r="K109" s="131"/>
      <c r="L109" s="130"/>
      <c r="M109" s="130"/>
      <c r="N109" s="130"/>
      <c r="O109" s="130"/>
      <c r="P109" s="174"/>
      <c r="Q109" s="174"/>
      <c r="R109" s="174"/>
      <c r="S109" s="174"/>
      <c r="T109" s="122" t="str">
        <f t="shared" si="5"/>
        <v/>
      </c>
      <c r="U109" s="123" t="str">
        <f t="shared" si="6"/>
        <v/>
      </c>
      <c r="V109" s="17"/>
      <c r="W109" s="17"/>
      <c r="X109" s="17"/>
      <c r="Y109" s="17"/>
      <c r="Z109" s="17"/>
      <c r="AA109" s="17"/>
      <c r="AB109" s="17"/>
      <c r="AC109" s="17"/>
      <c r="AD109" s="17"/>
      <c r="AE109" s="17"/>
      <c r="AF109" s="17"/>
    </row>
    <row r="110" ht="15.75" customHeight="1">
      <c r="A110" s="17"/>
      <c r="B110" s="135">
        <v>45.0</v>
      </c>
      <c r="C110" s="170" t="str">
        <f>IF('INPUT DATA'!Q55="","",'INPUT DATA'!Q55)</f>
        <v/>
      </c>
      <c r="D110" s="172"/>
      <c r="E110" s="163"/>
      <c r="F110" s="177" t="str">
        <f>IF('INPUT DATA'!T55="","",'INPUT DATA'!T55)</f>
        <v/>
      </c>
      <c r="G110" s="163"/>
      <c r="H110" s="176" t="str">
        <f>IF('INPUT DATA'!S55="","",'INPUT DATA'!S55)</f>
        <v/>
      </c>
      <c r="I110" s="129" t="str">
        <f t="shared" si="4"/>
        <v/>
      </c>
      <c r="J110" s="132"/>
      <c r="K110" s="136"/>
      <c r="L110" s="137"/>
      <c r="M110" s="137"/>
      <c r="N110" s="137"/>
      <c r="O110" s="137"/>
      <c r="P110" s="178"/>
      <c r="Q110" s="178"/>
      <c r="R110" s="178"/>
      <c r="S110" s="178"/>
      <c r="T110" s="122" t="str">
        <f t="shared" si="5"/>
        <v/>
      </c>
      <c r="U110" s="123" t="str">
        <f t="shared" si="6"/>
        <v/>
      </c>
      <c r="V110" s="17"/>
      <c r="W110" s="17"/>
      <c r="X110" s="17"/>
      <c r="Y110" s="17"/>
      <c r="Z110" s="17"/>
      <c r="AA110" s="17"/>
      <c r="AB110" s="17"/>
      <c r="AC110" s="17"/>
      <c r="AD110" s="17"/>
      <c r="AE110" s="17"/>
      <c r="AF110" s="17"/>
    </row>
    <row r="111" ht="15.75" customHeight="1">
      <c r="A111" s="17"/>
      <c r="B111" s="135">
        <v>46.0</v>
      </c>
      <c r="C111" s="170" t="str">
        <f>IF('INPUT DATA'!Q56="","",'INPUT DATA'!Q56)</f>
        <v/>
      </c>
      <c r="D111" s="172"/>
      <c r="E111" s="163"/>
      <c r="F111" s="177" t="str">
        <f>IF('INPUT DATA'!T56="","",'INPUT DATA'!T56)</f>
        <v/>
      </c>
      <c r="G111" s="163"/>
      <c r="H111" s="176" t="str">
        <f>IF('INPUT DATA'!S56="","",'INPUT DATA'!S56)</f>
        <v/>
      </c>
      <c r="I111" s="129" t="str">
        <f t="shared" si="4"/>
        <v/>
      </c>
      <c r="J111" s="132"/>
      <c r="K111" s="131"/>
      <c r="L111" s="130"/>
      <c r="M111" s="130"/>
      <c r="N111" s="130"/>
      <c r="O111" s="130"/>
      <c r="P111" s="174"/>
      <c r="Q111" s="174"/>
      <c r="R111" s="174"/>
      <c r="S111" s="174"/>
      <c r="T111" s="122" t="str">
        <f t="shared" si="5"/>
        <v/>
      </c>
      <c r="U111" s="123" t="str">
        <f t="shared" si="6"/>
        <v/>
      </c>
      <c r="V111" s="17"/>
      <c r="W111" s="17"/>
      <c r="X111" s="17"/>
      <c r="Y111" s="17"/>
      <c r="Z111" s="17"/>
      <c r="AA111" s="17"/>
      <c r="AB111" s="17"/>
      <c r="AC111" s="17"/>
      <c r="AD111" s="17"/>
      <c r="AE111" s="17"/>
      <c r="AF111" s="17"/>
    </row>
    <row r="112" ht="15.75" customHeight="1">
      <c r="A112" s="17"/>
      <c r="B112" s="135">
        <v>47.0</v>
      </c>
      <c r="C112" s="170" t="str">
        <f>IF('INPUT DATA'!Q57="","",'INPUT DATA'!Q57)</f>
        <v/>
      </c>
      <c r="D112" s="172"/>
      <c r="E112" s="163"/>
      <c r="F112" s="177" t="str">
        <f>IF('INPUT DATA'!T57="","",'INPUT DATA'!T57)</f>
        <v/>
      </c>
      <c r="G112" s="163"/>
      <c r="H112" s="176" t="str">
        <f>IF('INPUT DATA'!S57="","",'INPUT DATA'!S57)</f>
        <v/>
      </c>
      <c r="I112" s="129" t="str">
        <f t="shared" si="4"/>
        <v/>
      </c>
      <c r="J112" s="132"/>
      <c r="K112" s="131"/>
      <c r="L112" s="130"/>
      <c r="M112" s="130"/>
      <c r="N112" s="130"/>
      <c r="O112" s="130"/>
      <c r="P112" s="174"/>
      <c r="Q112" s="174"/>
      <c r="R112" s="174"/>
      <c r="S112" s="174"/>
      <c r="T112" s="122" t="str">
        <f t="shared" si="5"/>
        <v/>
      </c>
      <c r="U112" s="123" t="str">
        <f t="shared" si="6"/>
        <v/>
      </c>
      <c r="V112" s="17"/>
      <c r="W112" s="17"/>
      <c r="X112" s="17"/>
      <c r="Y112" s="17"/>
      <c r="Z112" s="17"/>
      <c r="AA112" s="17"/>
      <c r="AB112" s="17"/>
      <c r="AC112" s="17"/>
      <c r="AD112" s="17"/>
      <c r="AE112" s="17"/>
      <c r="AF112" s="17"/>
    </row>
    <row r="113" ht="15.75" customHeight="1">
      <c r="A113" s="17"/>
      <c r="B113" s="135">
        <v>48.0</v>
      </c>
      <c r="C113" s="170" t="str">
        <f>IF('INPUT DATA'!Q58="","",'INPUT DATA'!Q58)</f>
        <v/>
      </c>
      <c r="D113" s="172"/>
      <c r="E113" s="163"/>
      <c r="F113" s="177" t="str">
        <f>IF('INPUT DATA'!T58="","",'INPUT DATA'!T58)</f>
        <v/>
      </c>
      <c r="G113" s="163"/>
      <c r="H113" s="176" t="str">
        <f>IF('INPUT DATA'!S58="","",'INPUT DATA'!S58)</f>
        <v/>
      </c>
      <c r="I113" s="129" t="str">
        <f t="shared" si="4"/>
        <v/>
      </c>
      <c r="J113" s="132"/>
      <c r="K113" s="131"/>
      <c r="L113" s="130"/>
      <c r="M113" s="130"/>
      <c r="N113" s="130"/>
      <c r="O113" s="130"/>
      <c r="P113" s="174"/>
      <c r="Q113" s="174"/>
      <c r="R113" s="174"/>
      <c r="S113" s="174"/>
      <c r="T113" s="122" t="str">
        <f t="shared" si="5"/>
        <v/>
      </c>
      <c r="U113" s="123" t="str">
        <f t="shared" si="6"/>
        <v/>
      </c>
      <c r="V113" s="17"/>
      <c r="W113" s="17"/>
      <c r="X113" s="17"/>
      <c r="Y113" s="17"/>
      <c r="Z113" s="17"/>
      <c r="AA113" s="17"/>
      <c r="AB113" s="17"/>
      <c r="AC113" s="17"/>
      <c r="AD113" s="17"/>
      <c r="AE113" s="17"/>
      <c r="AF113" s="17"/>
    </row>
    <row r="114" ht="15.75" customHeight="1">
      <c r="A114" s="17"/>
      <c r="B114" s="135">
        <v>49.0</v>
      </c>
      <c r="C114" s="170" t="str">
        <f>IF('INPUT DATA'!Q59="","",'INPUT DATA'!Q59)</f>
        <v/>
      </c>
      <c r="D114" s="172"/>
      <c r="E114" s="163"/>
      <c r="F114" s="177" t="str">
        <f>IF('INPUT DATA'!T59="","",'INPUT DATA'!T59)</f>
        <v/>
      </c>
      <c r="G114" s="163"/>
      <c r="H114" s="176" t="str">
        <f>IF('INPUT DATA'!S59="","",'INPUT DATA'!S59)</f>
        <v/>
      </c>
      <c r="I114" s="129" t="str">
        <f t="shared" si="4"/>
        <v/>
      </c>
      <c r="J114" s="132"/>
      <c r="K114" s="131"/>
      <c r="L114" s="130"/>
      <c r="M114" s="130"/>
      <c r="N114" s="130"/>
      <c r="O114" s="130"/>
      <c r="P114" s="174"/>
      <c r="Q114" s="174"/>
      <c r="R114" s="174"/>
      <c r="S114" s="174"/>
      <c r="T114" s="122" t="str">
        <f t="shared" si="5"/>
        <v/>
      </c>
      <c r="U114" s="123" t="str">
        <f t="shared" si="6"/>
        <v/>
      </c>
      <c r="V114" s="17"/>
      <c r="W114" s="17"/>
      <c r="X114" s="17"/>
      <c r="Y114" s="17"/>
      <c r="Z114" s="17"/>
      <c r="AA114" s="17"/>
      <c r="AB114" s="17"/>
      <c r="AC114" s="17"/>
      <c r="AD114" s="17"/>
      <c r="AE114" s="17"/>
      <c r="AF114" s="17"/>
    </row>
    <row r="115" ht="15.75" customHeight="1">
      <c r="A115" s="17"/>
      <c r="B115" s="138">
        <v>50.0</v>
      </c>
      <c r="C115" s="154" t="str">
        <f>IF('INPUT DATA'!Q60="","",'INPUT DATA'!Q60)</f>
        <v/>
      </c>
      <c r="D115" s="155"/>
      <c r="E115" s="156"/>
      <c r="F115" s="179" t="str">
        <f>IF('INPUT DATA'!T60="","",'INPUT DATA'!T60)</f>
        <v/>
      </c>
      <c r="G115" s="156"/>
      <c r="H115" s="180" t="str">
        <f>IF('INPUT DATA'!S60="","",'INPUT DATA'!S60)</f>
        <v/>
      </c>
      <c r="I115" s="182" t="str">
        <f t="shared" si="4"/>
        <v/>
      </c>
      <c r="J115" s="144"/>
      <c r="K115" s="145"/>
      <c r="L115" s="146"/>
      <c r="M115" s="146"/>
      <c r="N115" s="146"/>
      <c r="O115" s="146"/>
      <c r="P115" s="183"/>
      <c r="Q115" s="183"/>
      <c r="R115" s="183"/>
      <c r="S115" s="183"/>
      <c r="T115" s="184" t="str">
        <f t="shared" si="5"/>
        <v/>
      </c>
      <c r="U115" s="185" t="str">
        <f t="shared" si="6"/>
        <v/>
      </c>
      <c r="V115" s="17"/>
      <c r="W115" s="17"/>
      <c r="X115" s="17"/>
      <c r="Y115" s="17"/>
      <c r="Z115" s="17"/>
      <c r="AA115" s="17"/>
      <c r="AB115" s="17"/>
      <c r="AC115" s="17"/>
      <c r="AD115" s="17"/>
      <c r="AE115" s="17"/>
      <c r="AF115" s="17"/>
    </row>
    <row r="116" ht="15.75" customHeight="1">
      <c r="A116" s="15"/>
      <c r="B116" s="15"/>
      <c r="C116" s="13"/>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15"/>
      <c r="C117" s="13"/>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15"/>
      <c r="C118" s="13"/>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15"/>
      <c r="C119" s="13"/>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15"/>
      <c r="C120" s="13"/>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15"/>
      <c r="C121" s="13"/>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15"/>
      <c r="C122" s="13"/>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15"/>
      <c r="C123" s="13"/>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15"/>
      <c r="C124" s="13"/>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15"/>
      <c r="C125" s="13"/>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15"/>
      <c r="C126" s="13"/>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K5:M5"/>
    <mergeCell ref="E6:G6"/>
    <mergeCell ref="K6:M6"/>
    <mergeCell ref="T6:U6"/>
    <mergeCell ref="B8:U8"/>
    <mergeCell ref="H11:H13"/>
    <mergeCell ref="I11:I13"/>
    <mergeCell ref="B9:E10"/>
    <mergeCell ref="G9:K9"/>
    <mergeCell ref="L9:M10"/>
    <mergeCell ref="G10:K10"/>
    <mergeCell ref="B11:E13"/>
    <mergeCell ref="F11:G13"/>
    <mergeCell ref="J11:J13"/>
    <mergeCell ref="N12:N13"/>
    <mergeCell ref="O12:O13"/>
    <mergeCell ref="N9:U10"/>
    <mergeCell ref="K11:S11"/>
    <mergeCell ref="T11:T13"/>
    <mergeCell ref="U11:U13"/>
    <mergeCell ref="K12:K13"/>
    <mergeCell ref="L12:L13"/>
    <mergeCell ref="M12:M13"/>
    <mergeCell ref="R12:S12"/>
    <mergeCell ref="P12:P13"/>
    <mergeCell ref="Q12:Q13"/>
    <mergeCell ref="B14:U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E49A"/>
    <pageSetUpPr/>
  </sheetPr>
  <sheetViews>
    <sheetView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9" max="10" width="5.13"/>
    <col customWidth="1" min="11" max="11" width="9.0"/>
    <col customWidth="1" min="12" max="12" width="9.38"/>
    <col customWidth="1" min="13" max="13" width="12.75"/>
    <col customWidth="1" min="14" max="14" width="11.38"/>
    <col customWidth="1" min="15" max="18" width="9.5"/>
    <col customWidth="1" min="19" max="19" width="11.88"/>
    <col customWidth="1" min="22" max="22" width="3.88"/>
  </cols>
  <sheetData>
    <row r="1" ht="15.75" customHeight="1">
      <c r="A1" s="10" t="s">
        <v>4</v>
      </c>
      <c r="W1" s="13"/>
      <c r="X1" s="13"/>
      <c r="Y1" s="13"/>
      <c r="Z1" s="13"/>
      <c r="AA1" s="13"/>
      <c r="AB1" s="13"/>
      <c r="AC1" s="13"/>
      <c r="AD1" s="13"/>
      <c r="AE1" s="13"/>
      <c r="AF1" s="13"/>
    </row>
    <row r="2" ht="15.75" customHeight="1">
      <c r="W2" s="13"/>
      <c r="X2" s="13"/>
      <c r="Y2" s="13"/>
      <c r="Z2" s="13"/>
      <c r="AA2" s="13"/>
      <c r="AB2" s="13"/>
      <c r="AC2" s="13"/>
      <c r="AD2" s="13"/>
      <c r="AE2" s="13"/>
      <c r="AF2" s="13"/>
    </row>
    <row r="3" ht="15.75" customHeight="1">
      <c r="W3" s="13"/>
      <c r="X3" s="13"/>
      <c r="Y3" s="13"/>
      <c r="Z3" s="13"/>
      <c r="AA3" s="13"/>
      <c r="AB3" s="13"/>
      <c r="AC3" s="13"/>
      <c r="AD3" s="13"/>
      <c r="AE3" s="13"/>
      <c r="AF3" s="13"/>
    </row>
    <row r="4" ht="15.75" customHeight="1">
      <c r="W4" s="15"/>
      <c r="X4" s="15"/>
      <c r="Y4" s="15"/>
      <c r="Z4" s="15"/>
      <c r="AA4" s="15"/>
      <c r="AB4" s="15"/>
      <c r="AC4" s="15"/>
      <c r="AD4" s="15"/>
      <c r="AE4" s="15"/>
      <c r="AF4" s="15"/>
    </row>
    <row r="5" ht="15.75" customHeight="1">
      <c r="A5" s="17"/>
      <c r="B5" s="19"/>
      <c r="C5" s="20"/>
      <c r="D5" s="21" t="s">
        <v>5</v>
      </c>
      <c r="E5" s="28" t="str">
        <f>'TERM 1 SUMMARY'!E5:G5</f>
        <v>NCR</v>
      </c>
      <c r="F5" s="29"/>
      <c r="G5" s="30"/>
      <c r="H5" s="31"/>
      <c r="I5" s="21" t="s">
        <v>8</v>
      </c>
      <c r="J5" s="21"/>
      <c r="K5" s="28" t="str">
        <f>'TERM 1 SUMMARY'!K5:M5</f>
        <v>LAS PINAS</v>
      </c>
      <c r="L5" s="29"/>
      <c r="M5" s="30"/>
      <c r="N5" s="37"/>
      <c r="O5" s="31"/>
      <c r="P5" s="31"/>
      <c r="Q5" s="31"/>
      <c r="R5" s="31"/>
      <c r="S5" s="31"/>
      <c r="T5" s="31"/>
      <c r="U5" s="31"/>
      <c r="V5" s="17"/>
      <c r="W5" s="17"/>
      <c r="X5" s="17"/>
      <c r="Y5" s="17"/>
      <c r="Z5" s="17"/>
      <c r="AA5" s="17"/>
      <c r="AB5" s="17"/>
      <c r="AC5" s="17"/>
      <c r="AD5" s="17"/>
      <c r="AE5" s="17"/>
      <c r="AF5" s="17"/>
    </row>
    <row r="6" ht="15.75" customHeight="1">
      <c r="A6" s="17"/>
      <c r="B6" s="19"/>
      <c r="C6" s="39"/>
      <c r="D6" s="21" t="s">
        <v>13</v>
      </c>
      <c r="E6" s="28" t="str">
        <f>'TERM 1 SUMMARY'!E6:G6</f>
        <v>LAS PINAS EAST NATIONAL HIGH SCHOOL</v>
      </c>
      <c r="F6" s="29"/>
      <c r="G6" s="30"/>
      <c r="H6" s="31"/>
      <c r="I6" s="21" t="s">
        <v>16</v>
      </c>
      <c r="J6" s="21"/>
      <c r="K6" s="47">
        <f>'TERM 1 SUMMARY'!K6:M6</f>
        <v>305434</v>
      </c>
      <c r="L6" s="29"/>
      <c r="M6" s="30"/>
      <c r="N6" s="48"/>
      <c r="O6" s="49"/>
      <c r="P6" s="49"/>
      <c r="Q6" s="49"/>
      <c r="R6" s="49"/>
      <c r="S6" s="21" t="s">
        <v>22</v>
      </c>
      <c r="T6" s="47" t="str">
        <f>'TERM 1 SUMMARY'!T6:U6</f>
        <v>2026-2027</v>
      </c>
      <c r="U6" s="30"/>
      <c r="V6" s="17"/>
      <c r="W6" s="17"/>
      <c r="X6" s="17"/>
      <c r="Y6" s="17"/>
      <c r="Z6" s="17"/>
      <c r="AA6" s="17"/>
      <c r="AB6" s="17"/>
      <c r="AC6" s="17"/>
      <c r="AD6" s="17"/>
      <c r="AE6" s="17"/>
      <c r="AF6" s="17"/>
    </row>
    <row r="7" ht="15.75" customHeight="1">
      <c r="A7" s="15"/>
      <c r="B7" s="53"/>
      <c r="C7" s="54"/>
      <c r="D7" s="54"/>
      <c r="E7" s="15"/>
      <c r="F7" s="15"/>
      <c r="G7" s="57"/>
      <c r="I7" s="15"/>
      <c r="J7" s="15"/>
      <c r="K7" s="15"/>
      <c r="L7" s="54"/>
      <c r="M7" s="15"/>
      <c r="N7" s="15"/>
      <c r="O7" s="54"/>
      <c r="P7" s="54"/>
      <c r="Q7" s="54"/>
      <c r="R7" s="54"/>
      <c r="S7" s="15"/>
      <c r="T7" s="54"/>
      <c r="U7" s="15"/>
      <c r="V7" s="15"/>
      <c r="W7" s="15"/>
      <c r="X7" s="15"/>
      <c r="Y7" s="15"/>
      <c r="Z7" s="15"/>
      <c r="AA7" s="15"/>
      <c r="AB7" s="15"/>
      <c r="AC7" s="15"/>
      <c r="AD7" s="15"/>
      <c r="AE7" s="15"/>
      <c r="AF7" s="15"/>
    </row>
    <row r="8" ht="15.75" customHeight="1">
      <c r="A8" s="15"/>
      <c r="B8" s="61"/>
      <c r="C8" s="29"/>
      <c r="D8" s="29"/>
      <c r="E8" s="29"/>
      <c r="F8" s="29"/>
      <c r="G8" s="29"/>
      <c r="H8" s="29"/>
      <c r="I8" s="29"/>
      <c r="J8" s="29"/>
      <c r="K8" s="29"/>
      <c r="L8" s="29"/>
      <c r="M8" s="29"/>
      <c r="N8" s="29"/>
      <c r="O8" s="29"/>
      <c r="P8" s="29"/>
      <c r="Q8" s="29"/>
      <c r="R8" s="29"/>
      <c r="S8" s="29"/>
      <c r="T8" s="29"/>
      <c r="U8" s="30"/>
      <c r="V8" s="15"/>
      <c r="W8" s="15"/>
      <c r="X8" s="15"/>
      <c r="Y8" s="15"/>
      <c r="Z8" s="15"/>
      <c r="AA8" s="15"/>
      <c r="AB8" s="15"/>
      <c r="AC8" s="15"/>
      <c r="AD8" s="15"/>
      <c r="AE8" s="15"/>
      <c r="AF8" s="15"/>
    </row>
    <row r="9" ht="15.75" customHeight="1">
      <c r="A9" s="13"/>
      <c r="B9" s="65" t="s">
        <v>26</v>
      </c>
      <c r="E9" s="68"/>
      <c r="F9" s="72" t="s">
        <v>25</v>
      </c>
      <c r="G9" s="74">
        <f>'TERM 1 SUMMARY'!G9:K9</f>
        <v>10</v>
      </c>
      <c r="H9" s="75"/>
      <c r="I9" s="75"/>
      <c r="J9" s="75"/>
      <c r="K9" s="76"/>
      <c r="L9" s="77" t="s">
        <v>30</v>
      </c>
      <c r="M9" s="68"/>
      <c r="N9" s="81" t="str">
        <f>'TERM 1 SUMMARY'!N9:U10</f>
        <v>#VALUE!</v>
      </c>
      <c r="O9" s="12"/>
      <c r="P9" s="12"/>
      <c r="Q9" s="12"/>
      <c r="R9" s="12"/>
      <c r="S9" s="12"/>
      <c r="T9" s="12"/>
      <c r="U9" s="14"/>
      <c r="V9" s="13"/>
      <c r="W9" s="13"/>
      <c r="X9" s="13"/>
      <c r="Y9" s="13"/>
      <c r="Z9" s="13"/>
      <c r="AA9" s="13"/>
      <c r="AB9" s="13"/>
      <c r="AC9" s="13"/>
      <c r="AD9" s="13"/>
      <c r="AE9" s="13"/>
      <c r="AF9" s="13"/>
    </row>
    <row r="10" ht="15.75" customHeight="1">
      <c r="A10" s="13"/>
      <c r="B10" s="83"/>
      <c r="E10" s="68"/>
      <c r="F10" s="84" t="s">
        <v>31</v>
      </c>
      <c r="G10" s="74" t="str">
        <f>'TERM 1 SUMMARY'!G10:K10</f>
        <v>PAMAYPAY</v>
      </c>
      <c r="H10" s="75"/>
      <c r="I10" s="75"/>
      <c r="J10" s="75"/>
      <c r="K10" s="76"/>
      <c r="L10" s="85"/>
      <c r="M10" s="76"/>
      <c r="N10" s="85"/>
      <c r="O10" s="75"/>
      <c r="P10" s="75"/>
      <c r="Q10" s="75"/>
      <c r="R10" s="75"/>
      <c r="S10" s="75"/>
      <c r="T10" s="75"/>
      <c r="U10" s="76"/>
      <c r="V10" s="13"/>
      <c r="W10" s="13"/>
      <c r="X10" s="13"/>
      <c r="Y10" s="13"/>
      <c r="Z10" s="13"/>
      <c r="AA10" s="13"/>
      <c r="AB10" s="13"/>
      <c r="AC10" s="13"/>
      <c r="AD10" s="13"/>
      <c r="AE10" s="13"/>
      <c r="AF10" s="13"/>
    </row>
    <row r="11" ht="14.25" customHeight="1">
      <c r="A11" s="15"/>
      <c r="B11" s="86" t="s">
        <v>33</v>
      </c>
      <c r="C11" s="12"/>
      <c r="D11" s="12"/>
      <c r="E11" s="14"/>
      <c r="F11" s="88" t="s">
        <v>10</v>
      </c>
      <c r="G11" s="14"/>
      <c r="H11" s="91" t="s">
        <v>34</v>
      </c>
      <c r="I11" s="91" t="s">
        <v>36</v>
      </c>
      <c r="J11" s="91" t="s">
        <v>37</v>
      </c>
      <c r="K11" s="92" t="s">
        <v>38</v>
      </c>
      <c r="L11" s="75"/>
      <c r="M11" s="75"/>
      <c r="N11" s="75"/>
      <c r="O11" s="75"/>
      <c r="P11" s="75"/>
      <c r="Q11" s="75"/>
      <c r="R11" s="75"/>
      <c r="S11" s="75"/>
      <c r="T11" s="94" t="s">
        <v>39</v>
      </c>
      <c r="U11" s="96" t="s">
        <v>41</v>
      </c>
      <c r="V11" s="37"/>
      <c r="W11" s="15"/>
      <c r="X11" s="15"/>
      <c r="Y11" s="15"/>
      <c r="Z11" s="15"/>
      <c r="AA11" s="15"/>
      <c r="AB11" s="15"/>
      <c r="AC11" s="15"/>
      <c r="AD11" s="15"/>
      <c r="AE11" s="15"/>
      <c r="AF11" s="15"/>
    </row>
    <row r="12" ht="14.25" customHeight="1">
      <c r="A12" s="15"/>
      <c r="B12" s="83"/>
      <c r="E12" s="68"/>
      <c r="F12" s="83"/>
      <c r="G12" s="68"/>
      <c r="H12" s="97"/>
      <c r="I12" s="97"/>
      <c r="J12" s="97"/>
      <c r="K12" s="91" t="s">
        <v>42</v>
      </c>
      <c r="L12" s="91" t="s">
        <v>43</v>
      </c>
      <c r="M12" s="91" t="s">
        <v>45</v>
      </c>
      <c r="N12" s="91" t="s">
        <v>46</v>
      </c>
      <c r="O12" s="91" t="s">
        <v>47</v>
      </c>
      <c r="P12" s="91" t="s">
        <v>48</v>
      </c>
      <c r="Q12" s="91" t="s">
        <v>49</v>
      </c>
      <c r="R12" s="102" t="s">
        <v>50</v>
      </c>
      <c r="S12" s="30"/>
      <c r="T12" s="97"/>
      <c r="U12" s="68"/>
      <c r="V12" s="37"/>
      <c r="W12" s="15"/>
      <c r="X12" s="15"/>
      <c r="Y12" s="15"/>
      <c r="Z12" s="15"/>
      <c r="AA12" s="15"/>
      <c r="AB12" s="15"/>
      <c r="AC12" s="15"/>
      <c r="AD12" s="15"/>
      <c r="AE12" s="15"/>
      <c r="AF12" s="15"/>
    </row>
    <row r="13" ht="15.75" customHeight="1">
      <c r="A13" s="15"/>
      <c r="B13" s="85"/>
      <c r="C13" s="75"/>
      <c r="D13" s="75"/>
      <c r="E13" s="76"/>
      <c r="F13" s="85"/>
      <c r="G13" s="76"/>
      <c r="H13" s="105"/>
      <c r="I13" s="105"/>
      <c r="J13" s="105"/>
      <c r="K13" s="105"/>
      <c r="L13" s="105"/>
      <c r="M13" s="105"/>
      <c r="N13" s="105"/>
      <c r="O13" s="105"/>
      <c r="P13" s="105"/>
      <c r="Q13" s="105"/>
      <c r="R13" s="106" t="s">
        <v>52</v>
      </c>
      <c r="S13" s="107" t="s">
        <v>53</v>
      </c>
      <c r="T13" s="105"/>
      <c r="U13" s="76"/>
      <c r="V13" s="37"/>
      <c r="W13" s="15"/>
      <c r="X13" s="15"/>
      <c r="Y13" s="15"/>
      <c r="Z13" s="15"/>
      <c r="AA13" s="15"/>
      <c r="AB13" s="15"/>
      <c r="AC13" s="15"/>
      <c r="AD13" s="15"/>
      <c r="AE13" s="15"/>
      <c r="AF13" s="15"/>
    </row>
    <row r="14" ht="15.75" customHeight="1">
      <c r="A14" s="17"/>
      <c r="B14" s="111"/>
      <c r="C14" s="29"/>
      <c r="D14" s="29"/>
      <c r="E14" s="29"/>
      <c r="F14" s="29"/>
      <c r="G14" s="29"/>
      <c r="H14" s="29"/>
      <c r="I14" s="29"/>
      <c r="J14" s="29"/>
      <c r="K14" s="29"/>
      <c r="L14" s="29"/>
      <c r="M14" s="29"/>
      <c r="N14" s="29"/>
      <c r="O14" s="29"/>
      <c r="P14" s="29"/>
      <c r="Q14" s="29"/>
      <c r="R14" s="29"/>
      <c r="S14" s="29"/>
      <c r="T14" s="29"/>
      <c r="U14" s="30"/>
      <c r="V14" s="17"/>
      <c r="W14" s="17"/>
      <c r="X14" s="17"/>
      <c r="Y14" s="17"/>
      <c r="Z14" s="17"/>
      <c r="AA14" s="17"/>
      <c r="AB14" s="17"/>
      <c r="AC14" s="17"/>
      <c r="AD14" s="17"/>
      <c r="AE14" s="17"/>
      <c r="AF14" s="17"/>
    </row>
    <row r="15" ht="15.75" customHeight="1">
      <c r="A15" s="17"/>
      <c r="B15" s="112">
        <v>1.0</v>
      </c>
      <c r="C15" s="113" t="str">
        <f>IF('INPUT DATA'!L11="","",'INPUT DATA'!L11)</f>
        <v>A</v>
      </c>
      <c r="D15" s="114"/>
      <c r="E15" s="115"/>
      <c r="F15" s="116">
        <f>IF('INPUT DATA'!M11="","",'INPUT DATA'!M11)</f>
        <v>123456789012</v>
      </c>
      <c r="G15" s="115"/>
      <c r="H15" s="124">
        <f>IF('INPUT DATA'!N11="","",'INPUT DATA'!N11)</f>
        <v>40355</v>
      </c>
      <c r="I15" s="127">
        <f t="shared" ref="I15:I64" si="1">IF(H15="","",DATEDIF(H15,TODAY(),"Y"))</f>
        <v>16</v>
      </c>
      <c r="J15" s="120" t="s">
        <v>54</v>
      </c>
      <c r="K15" s="121"/>
      <c r="L15" s="121"/>
      <c r="M15" s="121"/>
      <c r="N15" s="121"/>
      <c r="O15" s="121"/>
      <c r="P15" s="121"/>
      <c r="Q15" s="121"/>
      <c r="R15" s="121"/>
      <c r="S15" s="121"/>
      <c r="T15" s="122" t="str">
        <f t="shared" ref="T15:T64" si="2">IF(COUNT(K15:S15)=0,"",ROUND((K15+L15+M15+N15+O15+S15)/6,0))</f>
        <v/>
      </c>
      <c r="U15" s="123" t="str">
        <f t="shared" ref="U15:U64" si="3">IF(T15="","",_xlfn.RANK.AVG(T15,$T$15:$T$115))</f>
        <v/>
      </c>
      <c r="V15" s="17"/>
      <c r="W15" s="17"/>
      <c r="X15" s="17"/>
      <c r="Y15" s="17"/>
      <c r="Z15" s="17"/>
      <c r="AA15" s="17"/>
      <c r="AB15" s="17"/>
      <c r="AC15" s="17"/>
      <c r="AD15" s="17"/>
      <c r="AE15" s="17"/>
      <c r="AF15" s="17"/>
    </row>
    <row r="16" ht="15.75" customHeight="1">
      <c r="A16" s="17"/>
      <c r="B16" s="125">
        <v>2.0</v>
      </c>
      <c r="C16" s="113" t="str">
        <f>IF('INPUT DATA'!L12="","",'INPUT DATA'!L12)</f>
        <v>B</v>
      </c>
      <c r="D16" s="114"/>
      <c r="E16" s="115"/>
      <c r="F16" s="116">
        <f>IF('INPUT DATA'!M12="","",'INPUT DATA'!M12)</f>
        <v>2</v>
      </c>
      <c r="G16" s="115"/>
      <c r="H16" s="133">
        <f>IF('INPUT DATA'!N12="","",'INPUT DATA'!N12)</f>
        <v>40574</v>
      </c>
      <c r="I16" s="132">
        <f t="shared" si="1"/>
        <v>15</v>
      </c>
      <c r="J16" s="132" t="s">
        <v>54</v>
      </c>
      <c r="K16" s="131"/>
      <c r="L16" s="130"/>
      <c r="M16" s="130"/>
      <c r="N16" s="130"/>
      <c r="O16" s="130"/>
      <c r="P16" s="130"/>
      <c r="Q16" s="130"/>
      <c r="R16" s="130"/>
      <c r="S16" s="130"/>
      <c r="T16" s="122" t="str">
        <f t="shared" si="2"/>
        <v/>
      </c>
      <c r="U16" s="123" t="str">
        <f t="shared" si="3"/>
        <v/>
      </c>
      <c r="V16" s="17"/>
      <c r="W16" s="17"/>
      <c r="X16" s="17"/>
      <c r="Y16" s="17"/>
      <c r="Z16" s="17"/>
      <c r="AA16" s="17"/>
      <c r="AB16" s="17"/>
      <c r="AC16" s="17"/>
      <c r="AD16" s="17"/>
      <c r="AE16" s="17"/>
      <c r="AF16" s="17"/>
    </row>
    <row r="17" ht="15.75" customHeight="1">
      <c r="A17" s="17"/>
      <c r="B17" s="125">
        <v>3.0</v>
      </c>
      <c r="C17" s="113" t="str">
        <f>IF('INPUT DATA'!L13="","",'INPUT DATA'!L13)</f>
        <v/>
      </c>
      <c r="D17" s="114"/>
      <c r="E17" s="115"/>
      <c r="F17" s="116" t="str">
        <f>IF('INPUT DATA'!M13="","",'INPUT DATA'!M13)</f>
        <v/>
      </c>
      <c r="G17" s="115"/>
      <c r="H17" s="133" t="str">
        <f>IF('INPUT DATA'!N13="","",'INPUT DATA'!N13)</f>
        <v/>
      </c>
      <c r="I17" s="132" t="str">
        <f t="shared" si="1"/>
        <v/>
      </c>
      <c r="J17" s="132" t="s">
        <v>54</v>
      </c>
      <c r="K17" s="131"/>
      <c r="L17" s="130"/>
      <c r="M17" s="130"/>
      <c r="N17" s="130"/>
      <c r="O17" s="130"/>
      <c r="P17" s="130"/>
      <c r="Q17" s="130"/>
      <c r="R17" s="130"/>
      <c r="S17" s="130"/>
      <c r="T17" s="122" t="str">
        <f t="shared" si="2"/>
        <v/>
      </c>
      <c r="U17" s="123" t="str">
        <f t="shared" si="3"/>
        <v/>
      </c>
      <c r="V17" s="17"/>
      <c r="W17" s="17"/>
      <c r="X17" s="17"/>
      <c r="Y17" s="17"/>
      <c r="Z17" s="17"/>
      <c r="AA17" s="17"/>
      <c r="AB17" s="17"/>
      <c r="AC17" s="17"/>
      <c r="AD17" s="17"/>
      <c r="AE17" s="17"/>
      <c r="AF17" s="17"/>
    </row>
    <row r="18" ht="15.75" customHeight="1">
      <c r="A18" s="17"/>
      <c r="B18" s="125">
        <v>4.0</v>
      </c>
      <c r="C18" s="113" t="str">
        <f>IF('INPUT DATA'!L14="","",'INPUT DATA'!L14)</f>
        <v/>
      </c>
      <c r="D18" s="114"/>
      <c r="E18" s="115"/>
      <c r="F18" s="116" t="str">
        <f>IF('INPUT DATA'!M14="","",'INPUT DATA'!M14)</f>
        <v/>
      </c>
      <c r="G18" s="115"/>
      <c r="H18" s="133" t="str">
        <f>IF('INPUT DATA'!N14="","",'INPUT DATA'!N14)</f>
        <v/>
      </c>
      <c r="I18" s="132" t="str">
        <f t="shared" si="1"/>
        <v/>
      </c>
      <c r="J18" s="132"/>
      <c r="K18" s="131"/>
      <c r="L18" s="130"/>
      <c r="M18" s="130"/>
      <c r="N18" s="130"/>
      <c r="O18" s="130"/>
      <c r="P18" s="130"/>
      <c r="Q18" s="130"/>
      <c r="R18" s="130"/>
      <c r="S18" s="130"/>
      <c r="T18" s="122" t="str">
        <f t="shared" si="2"/>
        <v/>
      </c>
      <c r="U18" s="123" t="str">
        <f t="shared" si="3"/>
        <v/>
      </c>
      <c r="V18" s="17"/>
      <c r="W18" s="17"/>
      <c r="X18" s="17"/>
      <c r="Y18" s="17"/>
      <c r="Z18" s="17"/>
      <c r="AA18" s="17"/>
      <c r="AB18" s="17"/>
      <c r="AC18" s="17"/>
      <c r="AD18" s="17"/>
      <c r="AE18" s="17"/>
      <c r="AF18" s="17"/>
    </row>
    <row r="19" ht="15.75" customHeight="1">
      <c r="A19" s="17"/>
      <c r="B19" s="125">
        <v>5.0</v>
      </c>
      <c r="C19" s="113" t="str">
        <f>IF('INPUT DATA'!L15="","",'INPUT DATA'!L15)</f>
        <v/>
      </c>
      <c r="D19" s="114"/>
      <c r="E19" s="115"/>
      <c r="F19" s="116" t="str">
        <f>IF('INPUT DATA'!M15="","",'INPUT DATA'!M15)</f>
        <v/>
      </c>
      <c r="G19" s="115"/>
      <c r="H19" s="133" t="str">
        <f>IF('INPUT DATA'!N15="","",'INPUT DATA'!N15)</f>
        <v/>
      </c>
      <c r="I19" s="132" t="str">
        <f t="shared" si="1"/>
        <v/>
      </c>
      <c r="J19" s="132"/>
      <c r="K19" s="131"/>
      <c r="L19" s="130"/>
      <c r="M19" s="130"/>
      <c r="N19" s="130"/>
      <c r="O19" s="130"/>
      <c r="P19" s="130"/>
      <c r="Q19" s="130"/>
      <c r="R19" s="130"/>
      <c r="S19" s="130"/>
      <c r="T19" s="122" t="str">
        <f t="shared" si="2"/>
        <v/>
      </c>
      <c r="U19" s="123" t="str">
        <f t="shared" si="3"/>
        <v/>
      </c>
      <c r="V19" s="17"/>
      <c r="W19" s="17"/>
      <c r="X19" s="17"/>
      <c r="Y19" s="17"/>
      <c r="Z19" s="17"/>
      <c r="AA19" s="17"/>
      <c r="AB19" s="17"/>
      <c r="AC19" s="17"/>
      <c r="AD19" s="17"/>
      <c r="AE19" s="17"/>
      <c r="AF19" s="17"/>
    </row>
    <row r="20" ht="15.75" customHeight="1">
      <c r="A20" s="17"/>
      <c r="B20" s="125">
        <v>6.0</v>
      </c>
      <c r="C20" s="113" t="str">
        <f>IF('INPUT DATA'!L16="","",'INPUT DATA'!L16)</f>
        <v/>
      </c>
      <c r="D20" s="114"/>
      <c r="E20" s="115"/>
      <c r="F20" s="116" t="str">
        <f>IF('INPUT DATA'!M16="","",'INPUT DATA'!M16)</f>
        <v/>
      </c>
      <c r="G20" s="115"/>
      <c r="H20" s="133" t="str">
        <f>IF('INPUT DATA'!N16="","",'INPUT DATA'!N16)</f>
        <v/>
      </c>
      <c r="I20" s="132" t="str">
        <f t="shared" si="1"/>
        <v/>
      </c>
      <c r="J20" s="132"/>
      <c r="K20" s="131"/>
      <c r="L20" s="130"/>
      <c r="M20" s="130"/>
      <c r="N20" s="130"/>
      <c r="O20" s="130"/>
      <c r="P20" s="130"/>
      <c r="Q20" s="130"/>
      <c r="R20" s="130"/>
      <c r="S20" s="130"/>
      <c r="T20" s="122" t="str">
        <f t="shared" si="2"/>
        <v/>
      </c>
      <c r="U20" s="123" t="str">
        <f t="shared" si="3"/>
        <v/>
      </c>
      <c r="V20" s="17"/>
      <c r="W20" s="17"/>
      <c r="X20" s="17"/>
      <c r="Y20" s="17"/>
      <c r="Z20" s="17"/>
      <c r="AA20" s="17"/>
      <c r="AB20" s="17"/>
      <c r="AC20" s="17"/>
      <c r="AD20" s="17"/>
      <c r="AE20" s="17"/>
      <c r="AF20" s="17"/>
    </row>
    <row r="21" ht="15.75" customHeight="1">
      <c r="A21" s="17"/>
      <c r="B21" s="125">
        <v>7.0</v>
      </c>
      <c r="C21" s="113" t="str">
        <f>IF('INPUT DATA'!L17="","",'INPUT DATA'!L17)</f>
        <v/>
      </c>
      <c r="D21" s="114"/>
      <c r="E21" s="115"/>
      <c r="F21" s="116" t="str">
        <f>IF('INPUT DATA'!M17="","",'INPUT DATA'!M17)</f>
        <v/>
      </c>
      <c r="G21" s="115"/>
      <c r="H21" s="133" t="str">
        <f>IF('INPUT DATA'!N17="","",'INPUT DATA'!N17)</f>
        <v/>
      </c>
      <c r="I21" s="132" t="str">
        <f t="shared" si="1"/>
        <v/>
      </c>
      <c r="J21" s="132"/>
      <c r="K21" s="131"/>
      <c r="L21" s="130"/>
      <c r="M21" s="130"/>
      <c r="N21" s="130"/>
      <c r="O21" s="130"/>
      <c r="P21" s="130"/>
      <c r="Q21" s="130"/>
      <c r="R21" s="130"/>
      <c r="S21" s="130"/>
      <c r="T21" s="122" t="str">
        <f t="shared" si="2"/>
        <v/>
      </c>
      <c r="U21" s="123" t="str">
        <f t="shared" si="3"/>
        <v/>
      </c>
      <c r="V21" s="17"/>
      <c r="W21" s="17"/>
      <c r="X21" s="17"/>
      <c r="Y21" s="17"/>
      <c r="Z21" s="17"/>
      <c r="AA21" s="17"/>
      <c r="AB21" s="17"/>
      <c r="AC21" s="17"/>
      <c r="AD21" s="17"/>
      <c r="AE21" s="17"/>
      <c r="AF21" s="17"/>
    </row>
    <row r="22" ht="15.75" customHeight="1">
      <c r="A22" s="17"/>
      <c r="B22" s="125">
        <v>8.0</v>
      </c>
      <c r="C22" s="113" t="str">
        <f>IF('INPUT DATA'!L18="","",'INPUT DATA'!L18)</f>
        <v/>
      </c>
      <c r="D22" s="114"/>
      <c r="E22" s="115"/>
      <c r="F22" s="116" t="str">
        <f>IF('INPUT DATA'!M18="","",'INPUT DATA'!M18)</f>
        <v/>
      </c>
      <c r="G22" s="115"/>
      <c r="H22" s="133" t="str">
        <f>IF('INPUT DATA'!N18="","",'INPUT DATA'!N18)</f>
        <v/>
      </c>
      <c r="I22" s="132" t="str">
        <f t="shared" si="1"/>
        <v/>
      </c>
      <c r="J22" s="132"/>
      <c r="K22" s="131"/>
      <c r="L22" s="130"/>
      <c r="M22" s="130"/>
      <c r="N22" s="130"/>
      <c r="O22" s="130"/>
      <c r="P22" s="130"/>
      <c r="Q22" s="130"/>
      <c r="R22" s="130"/>
      <c r="S22" s="130"/>
      <c r="T22" s="122" t="str">
        <f t="shared" si="2"/>
        <v/>
      </c>
      <c r="U22" s="123" t="str">
        <f t="shared" si="3"/>
        <v/>
      </c>
      <c r="V22" s="17"/>
      <c r="W22" s="17"/>
      <c r="X22" s="17"/>
      <c r="Y22" s="17"/>
      <c r="Z22" s="17"/>
      <c r="AA22" s="17"/>
      <c r="AB22" s="17"/>
      <c r="AC22" s="17"/>
      <c r="AD22" s="17"/>
      <c r="AE22" s="17"/>
      <c r="AF22" s="17"/>
    </row>
    <row r="23" ht="15.75" customHeight="1">
      <c r="A23" s="17"/>
      <c r="B23" s="125">
        <v>9.0</v>
      </c>
      <c r="C23" s="113" t="str">
        <f>IF('INPUT DATA'!L19="","",'INPUT DATA'!L19)</f>
        <v/>
      </c>
      <c r="D23" s="114"/>
      <c r="E23" s="115"/>
      <c r="F23" s="116" t="str">
        <f>IF('INPUT DATA'!M19="","",'INPUT DATA'!M19)</f>
        <v/>
      </c>
      <c r="G23" s="115"/>
      <c r="H23" s="133" t="str">
        <f>IF('INPUT DATA'!N19="","",'INPUT DATA'!N19)</f>
        <v/>
      </c>
      <c r="I23" s="132" t="str">
        <f t="shared" si="1"/>
        <v/>
      </c>
      <c r="J23" s="132"/>
      <c r="K23" s="131"/>
      <c r="L23" s="130"/>
      <c r="M23" s="130"/>
      <c r="N23" s="130"/>
      <c r="O23" s="130"/>
      <c r="P23" s="130"/>
      <c r="Q23" s="130"/>
      <c r="R23" s="130"/>
      <c r="S23" s="130"/>
      <c r="T23" s="122" t="str">
        <f t="shared" si="2"/>
        <v/>
      </c>
      <c r="U23" s="123" t="str">
        <f t="shared" si="3"/>
        <v/>
      </c>
      <c r="V23" s="17"/>
      <c r="W23" s="17"/>
      <c r="X23" s="17"/>
      <c r="Y23" s="17"/>
      <c r="Z23" s="17"/>
      <c r="AA23" s="17"/>
      <c r="AB23" s="17"/>
      <c r="AC23" s="17"/>
      <c r="AD23" s="17"/>
      <c r="AE23" s="17"/>
      <c r="AF23" s="17"/>
    </row>
    <row r="24" ht="15.75" customHeight="1">
      <c r="A24" s="17"/>
      <c r="B24" s="125">
        <v>10.0</v>
      </c>
      <c r="C24" s="113" t="str">
        <f>IF('INPUT DATA'!L20="","",'INPUT DATA'!L20)</f>
        <v/>
      </c>
      <c r="D24" s="114"/>
      <c r="E24" s="115"/>
      <c r="F24" s="116" t="str">
        <f>IF('INPUT DATA'!M20="","",'INPUT DATA'!M20)</f>
        <v/>
      </c>
      <c r="G24" s="115"/>
      <c r="H24" s="133" t="str">
        <f>IF('INPUT DATA'!N20="","",'INPUT DATA'!N20)</f>
        <v/>
      </c>
      <c r="I24" s="132" t="str">
        <f t="shared" si="1"/>
        <v/>
      </c>
      <c r="J24" s="132"/>
      <c r="K24" s="131"/>
      <c r="L24" s="130"/>
      <c r="M24" s="130"/>
      <c r="N24" s="130"/>
      <c r="O24" s="130"/>
      <c r="P24" s="130"/>
      <c r="Q24" s="130"/>
      <c r="R24" s="130"/>
      <c r="S24" s="130"/>
      <c r="T24" s="122" t="str">
        <f t="shared" si="2"/>
        <v/>
      </c>
      <c r="U24" s="123" t="str">
        <f t="shared" si="3"/>
        <v/>
      </c>
      <c r="V24" s="17"/>
      <c r="W24" s="17"/>
      <c r="X24" s="17"/>
      <c r="Y24" s="17"/>
      <c r="Z24" s="17"/>
      <c r="AA24" s="17"/>
      <c r="AB24" s="17"/>
      <c r="AC24" s="17"/>
      <c r="AD24" s="17"/>
      <c r="AE24" s="17"/>
      <c r="AF24" s="17"/>
    </row>
    <row r="25" ht="15.75" customHeight="1">
      <c r="A25" s="17"/>
      <c r="B25" s="125">
        <v>11.0</v>
      </c>
      <c r="C25" s="113" t="str">
        <f>IF('INPUT DATA'!L21="","",'INPUT DATA'!L21)</f>
        <v/>
      </c>
      <c r="D25" s="114"/>
      <c r="E25" s="115"/>
      <c r="F25" s="116" t="str">
        <f>IF('INPUT DATA'!M21="","",'INPUT DATA'!M21)</f>
        <v/>
      </c>
      <c r="G25" s="115"/>
      <c r="H25" s="133" t="str">
        <f>IF('INPUT DATA'!N21="","",'INPUT DATA'!N21)</f>
        <v/>
      </c>
      <c r="I25" s="132" t="str">
        <f t="shared" si="1"/>
        <v/>
      </c>
      <c r="J25" s="132"/>
      <c r="K25" s="131"/>
      <c r="L25" s="130"/>
      <c r="M25" s="130"/>
      <c r="N25" s="130"/>
      <c r="O25" s="130"/>
      <c r="P25" s="130"/>
      <c r="Q25" s="130"/>
      <c r="R25" s="130"/>
      <c r="S25" s="130"/>
      <c r="T25" s="122" t="str">
        <f t="shared" si="2"/>
        <v/>
      </c>
      <c r="U25" s="123" t="str">
        <f t="shared" si="3"/>
        <v/>
      </c>
      <c r="V25" s="17"/>
      <c r="W25" s="17"/>
      <c r="X25" s="17"/>
      <c r="Y25" s="17"/>
      <c r="Z25" s="17"/>
      <c r="AA25" s="17"/>
      <c r="AB25" s="17"/>
      <c r="AC25" s="17"/>
      <c r="AD25" s="17"/>
      <c r="AE25" s="17"/>
      <c r="AF25" s="17"/>
    </row>
    <row r="26" ht="15.75" customHeight="1">
      <c r="A26" s="17"/>
      <c r="B26" s="125">
        <v>12.0</v>
      </c>
      <c r="C26" s="113" t="str">
        <f>IF('INPUT DATA'!L22="","",'INPUT DATA'!L22)</f>
        <v/>
      </c>
      <c r="D26" s="114"/>
      <c r="E26" s="115"/>
      <c r="F26" s="116" t="str">
        <f>IF('INPUT DATA'!M22="","",'INPUT DATA'!M22)</f>
        <v/>
      </c>
      <c r="G26" s="115"/>
      <c r="H26" s="133" t="str">
        <f>IF('INPUT DATA'!N22="","",'INPUT DATA'!N22)</f>
        <v/>
      </c>
      <c r="I26" s="132" t="str">
        <f t="shared" si="1"/>
        <v/>
      </c>
      <c r="J26" s="132"/>
      <c r="K26" s="131"/>
      <c r="L26" s="130"/>
      <c r="M26" s="130"/>
      <c r="N26" s="130"/>
      <c r="O26" s="130"/>
      <c r="P26" s="130"/>
      <c r="Q26" s="130"/>
      <c r="R26" s="130"/>
      <c r="S26" s="130"/>
      <c r="T26" s="122" t="str">
        <f t="shared" si="2"/>
        <v/>
      </c>
      <c r="U26" s="123" t="str">
        <f t="shared" si="3"/>
        <v/>
      </c>
      <c r="V26" s="17"/>
      <c r="W26" s="17"/>
      <c r="X26" s="17"/>
      <c r="Y26" s="17"/>
      <c r="Z26" s="17"/>
      <c r="AA26" s="17"/>
      <c r="AB26" s="17"/>
      <c r="AC26" s="17"/>
      <c r="AD26" s="17"/>
      <c r="AE26" s="17"/>
      <c r="AF26" s="17"/>
    </row>
    <row r="27" ht="15.75" customHeight="1">
      <c r="A27" s="17"/>
      <c r="B27" s="125">
        <v>13.0</v>
      </c>
      <c r="C27" s="113" t="str">
        <f>IF('INPUT DATA'!L23="","",'INPUT DATA'!L23)</f>
        <v/>
      </c>
      <c r="D27" s="114"/>
      <c r="E27" s="115"/>
      <c r="F27" s="116" t="str">
        <f>IF('INPUT DATA'!M23="","",'INPUT DATA'!M23)</f>
        <v/>
      </c>
      <c r="G27" s="115"/>
      <c r="H27" s="133" t="str">
        <f>IF('INPUT DATA'!N23="","",'INPUT DATA'!N23)</f>
        <v/>
      </c>
      <c r="I27" s="132" t="str">
        <f t="shared" si="1"/>
        <v/>
      </c>
      <c r="J27" s="132"/>
      <c r="K27" s="131"/>
      <c r="L27" s="130"/>
      <c r="M27" s="130"/>
      <c r="N27" s="130"/>
      <c r="O27" s="130"/>
      <c r="P27" s="130"/>
      <c r="Q27" s="130"/>
      <c r="R27" s="130"/>
      <c r="S27" s="130"/>
      <c r="T27" s="122" t="str">
        <f t="shared" si="2"/>
        <v/>
      </c>
      <c r="U27" s="123" t="str">
        <f t="shared" si="3"/>
        <v/>
      </c>
      <c r="V27" s="17"/>
      <c r="W27" s="17"/>
      <c r="X27" s="17"/>
      <c r="Y27" s="17"/>
      <c r="Z27" s="17"/>
      <c r="AA27" s="17"/>
      <c r="AB27" s="17"/>
      <c r="AC27" s="17"/>
      <c r="AD27" s="17"/>
      <c r="AE27" s="17"/>
      <c r="AF27" s="17"/>
    </row>
    <row r="28" ht="15.75" customHeight="1">
      <c r="A28" s="17"/>
      <c r="B28" s="125">
        <v>14.0</v>
      </c>
      <c r="C28" s="113" t="str">
        <f>IF('INPUT DATA'!L24="","",'INPUT DATA'!L24)</f>
        <v/>
      </c>
      <c r="D28" s="114"/>
      <c r="E28" s="115"/>
      <c r="F28" s="116" t="str">
        <f>IF('INPUT DATA'!M24="","",'INPUT DATA'!M24)</f>
        <v/>
      </c>
      <c r="G28" s="115"/>
      <c r="H28" s="133" t="str">
        <f>IF('INPUT DATA'!N24="","",'INPUT DATA'!N24)</f>
        <v/>
      </c>
      <c r="I28" s="132" t="str">
        <f t="shared" si="1"/>
        <v/>
      </c>
      <c r="J28" s="132"/>
      <c r="K28" s="131"/>
      <c r="L28" s="130"/>
      <c r="M28" s="130"/>
      <c r="N28" s="130"/>
      <c r="O28" s="130"/>
      <c r="P28" s="130"/>
      <c r="Q28" s="130"/>
      <c r="R28" s="130"/>
      <c r="S28" s="130"/>
      <c r="T28" s="122" t="str">
        <f t="shared" si="2"/>
        <v/>
      </c>
      <c r="U28" s="123" t="str">
        <f t="shared" si="3"/>
        <v/>
      </c>
      <c r="V28" s="17"/>
      <c r="W28" s="17"/>
      <c r="X28" s="17"/>
      <c r="Y28" s="17"/>
      <c r="Z28" s="17"/>
      <c r="AA28" s="17"/>
      <c r="AB28" s="17"/>
      <c r="AC28" s="17"/>
      <c r="AD28" s="17"/>
      <c r="AE28" s="17"/>
      <c r="AF28" s="17"/>
    </row>
    <row r="29" ht="15.75" customHeight="1">
      <c r="A29" s="17"/>
      <c r="B29" s="125">
        <v>15.0</v>
      </c>
      <c r="C29" s="113" t="str">
        <f>IF('INPUT DATA'!L25="","",'INPUT DATA'!L25)</f>
        <v/>
      </c>
      <c r="D29" s="114"/>
      <c r="E29" s="115"/>
      <c r="F29" s="116" t="str">
        <f>IF('INPUT DATA'!M25="","",'INPUT DATA'!M25)</f>
        <v/>
      </c>
      <c r="G29" s="115"/>
      <c r="H29" s="133" t="str">
        <f>IF('INPUT DATA'!N25="","",'INPUT DATA'!N25)</f>
        <v/>
      </c>
      <c r="I29" s="132" t="str">
        <f t="shared" si="1"/>
        <v/>
      </c>
      <c r="J29" s="132"/>
      <c r="K29" s="131"/>
      <c r="L29" s="130"/>
      <c r="M29" s="130"/>
      <c r="N29" s="130"/>
      <c r="O29" s="130"/>
      <c r="P29" s="130"/>
      <c r="Q29" s="130"/>
      <c r="R29" s="130"/>
      <c r="S29" s="130"/>
      <c r="T29" s="122" t="str">
        <f t="shared" si="2"/>
        <v/>
      </c>
      <c r="U29" s="123" t="str">
        <f t="shared" si="3"/>
        <v/>
      </c>
      <c r="V29" s="17"/>
      <c r="W29" s="17"/>
      <c r="X29" s="17"/>
      <c r="Y29" s="17"/>
      <c r="Z29" s="17"/>
      <c r="AA29" s="17"/>
      <c r="AB29" s="17"/>
      <c r="AC29" s="17"/>
      <c r="AD29" s="17"/>
      <c r="AE29" s="17"/>
      <c r="AF29" s="17"/>
    </row>
    <row r="30" ht="15.75" customHeight="1">
      <c r="A30" s="17"/>
      <c r="B30" s="125">
        <v>16.0</v>
      </c>
      <c r="C30" s="113" t="str">
        <f>IF('INPUT DATA'!L26="","",'INPUT DATA'!L26)</f>
        <v/>
      </c>
      <c r="D30" s="114"/>
      <c r="E30" s="115"/>
      <c r="F30" s="116" t="str">
        <f>IF('INPUT DATA'!M26="","",'INPUT DATA'!M26)</f>
        <v/>
      </c>
      <c r="G30" s="115"/>
      <c r="H30" s="133" t="str">
        <f>IF('INPUT DATA'!N26="","",'INPUT DATA'!N26)</f>
        <v/>
      </c>
      <c r="I30" s="132" t="str">
        <f t="shared" si="1"/>
        <v/>
      </c>
      <c r="J30" s="132"/>
      <c r="K30" s="131"/>
      <c r="L30" s="130"/>
      <c r="M30" s="130"/>
      <c r="N30" s="130"/>
      <c r="O30" s="130"/>
      <c r="P30" s="130"/>
      <c r="Q30" s="130"/>
      <c r="R30" s="130"/>
      <c r="S30" s="130"/>
      <c r="T30" s="122" t="str">
        <f t="shared" si="2"/>
        <v/>
      </c>
      <c r="U30" s="123" t="str">
        <f t="shared" si="3"/>
        <v/>
      </c>
      <c r="V30" s="17"/>
      <c r="W30" s="17"/>
      <c r="X30" s="17"/>
      <c r="Y30" s="17"/>
      <c r="Z30" s="17"/>
      <c r="AA30" s="17"/>
      <c r="AB30" s="17"/>
      <c r="AC30" s="17"/>
      <c r="AD30" s="17"/>
      <c r="AE30" s="17"/>
      <c r="AF30" s="17"/>
    </row>
    <row r="31" ht="15.75" customHeight="1">
      <c r="A31" s="17"/>
      <c r="B31" s="125">
        <v>17.0</v>
      </c>
      <c r="C31" s="113" t="str">
        <f>IF('INPUT DATA'!L27="","",'INPUT DATA'!L27)</f>
        <v/>
      </c>
      <c r="D31" s="114"/>
      <c r="E31" s="115"/>
      <c r="F31" s="116" t="str">
        <f>IF('INPUT DATA'!M27="","",'INPUT DATA'!M27)</f>
        <v/>
      </c>
      <c r="G31" s="115"/>
      <c r="H31" s="133" t="str">
        <f>IF('INPUT DATA'!N27="","",'INPUT DATA'!N27)</f>
        <v/>
      </c>
      <c r="I31" s="132" t="str">
        <f t="shared" si="1"/>
        <v/>
      </c>
      <c r="J31" s="132"/>
      <c r="K31" s="131"/>
      <c r="L31" s="130"/>
      <c r="M31" s="130"/>
      <c r="N31" s="130"/>
      <c r="O31" s="130"/>
      <c r="P31" s="130"/>
      <c r="Q31" s="130"/>
      <c r="R31" s="130"/>
      <c r="S31" s="130"/>
      <c r="T31" s="122" t="str">
        <f t="shared" si="2"/>
        <v/>
      </c>
      <c r="U31" s="123" t="str">
        <f t="shared" si="3"/>
        <v/>
      </c>
      <c r="V31" s="17"/>
      <c r="W31" s="17"/>
      <c r="X31" s="17"/>
      <c r="Y31" s="17"/>
      <c r="Z31" s="17"/>
      <c r="AA31" s="17"/>
      <c r="AB31" s="17"/>
      <c r="AC31" s="17"/>
      <c r="AD31" s="17"/>
      <c r="AE31" s="17"/>
      <c r="AF31" s="17"/>
    </row>
    <row r="32" ht="15.75" customHeight="1">
      <c r="A32" s="17"/>
      <c r="B32" s="125">
        <v>18.0</v>
      </c>
      <c r="C32" s="113" t="str">
        <f>IF('INPUT DATA'!L28="","",'INPUT DATA'!L28)</f>
        <v/>
      </c>
      <c r="D32" s="114"/>
      <c r="E32" s="115"/>
      <c r="F32" s="116" t="str">
        <f>IF('INPUT DATA'!M28="","",'INPUT DATA'!M28)</f>
        <v/>
      </c>
      <c r="G32" s="115"/>
      <c r="H32" s="133" t="str">
        <f>IF('INPUT DATA'!N28="","",'INPUT DATA'!N28)</f>
        <v/>
      </c>
      <c r="I32" s="132" t="str">
        <f t="shared" si="1"/>
        <v/>
      </c>
      <c r="J32" s="132"/>
      <c r="K32" s="131"/>
      <c r="L32" s="130"/>
      <c r="M32" s="130"/>
      <c r="N32" s="130"/>
      <c r="O32" s="130"/>
      <c r="P32" s="130"/>
      <c r="Q32" s="130"/>
      <c r="R32" s="130"/>
      <c r="S32" s="130"/>
      <c r="T32" s="122" t="str">
        <f t="shared" si="2"/>
        <v/>
      </c>
      <c r="U32" s="123" t="str">
        <f t="shared" si="3"/>
        <v/>
      </c>
      <c r="V32" s="17"/>
      <c r="W32" s="17"/>
      <c r="X32" s="17"/>
      <c r="Y32" s="17"/>
      <c r="Z32" s="17"/>
      <c r="AA32" s="17"/>
      <c r="AB32" s="17"/>
      <c r="AC32" s="17"/>
      <c r="AD32" s="17"/>
      <c r="AE32" s="17"/>
      <c r="AF32" s="17"/>
    </row>
    <row r="33" ht="15.75" customHeight="1">
      <c r="A33" s="17"/>
      <c r="B33" s="125">
        <v>19.0</v>
      </c>
      <c r="C33" s="113" t="str">
        <f>IF('INPUT DATA'!L29="","",'INPUT DATA'!L29)</f>
        <v/>
      </c>
      <c r="D33" s="114"/>
      <c r="E33" s="115"/>
      <c r="F33" s="116" t="str">
        <f>IF('INPUT DATA'!M29="","",'INPUT DATA'!M29)</f>
        <v/>
      </c>
      <c r="G33" s="115"/>
      <c r="H33" s="133" t="str">
        <f>IF('INPUT DATA'!N29="","",'INPUT DATA'!N29)</f>
        <v/>
      </c>
      <c r="I33" s="132" t="str">
        <f t="shared" si="1"/>
        <v/>
      </c>
      <c r="J33" s="132"/>
      <c r="K33" s="131"/>
      <c r="L33" s="130"/>
      <c r="M33" s="130"/>
      <c r="N33" s="130"/>
      <c r="O33" s="130"/>
      <c r="P33" s="130"/>
      <c r="Q33" s="130"/>
      <c r="R33" s="130"/>
      <c r="S33" s="130"/>
      <c r="T33" s="122" t="str">
        <f t="shared" si="2"/>
        <v/>
      </c>
      <c r="U33" s="123" t="str">
        <f t="shared" si="3"/>
        <v/>
      </c>
      <c r="V33" s="17"/>
      <c r="W33" s="17"/>
      <c r="X33" s="17"/>
      <c r="Y33" s="17"/>
      <c r="Z33" s="17"/>
      <c r="AA33" s="17"/>
      <c r="AB33" s="17"/>
      <c r="AC33" s="17"/>
      <c r="AD33" s="17"/>
      <c r="AE33" s="17"/>
      <c r="AF33" s="17"/>
    </row>
    <row r="34" ht="15.75" customHeight="1">
      <c r="A34" s="17"/>
      <c r="B34" s="135">
        <v>20.0</v>
      </c>
      <c r="C34" s="113" t="str">
        <f>IF('INPUT DATA'!L30="","",'INPUT DATA'!L30)</f>
        <v/>
      </c>
      <c r="D34" s="114"/>
      <c r="E34" s="115"/>
      <c r="F34" s="116" t="str">
        <f>IF('INPUT DATA'!M30="","",'INPUT DATA'!M30)</f>
        <v/>
      </c>
      <c r="G34" s="115"/>
      <c r="H34" s="133" t="str">
        <f>IF('INPUT DATA'!N30="","",'INPUT DATA'!N30)</f>
        <v/>
      </c>
      <c r="I34" s="132" t="str">
        <f t="shared" si="1"/>
        <v/>
      </c>
      <c r="J34" s="132"/>
      <c r="K34" s="136"/>
      <c r="L34" s="137"/>
      <c r="M34" s="137"/>
      <c r="N34" s="137"/>
      <c r="O34" s="137"/>
      <c r="P34" s="137"/>
      <c r="Q34" s="137"/>
      <c r="R34" s="137"/>
      <c r="S34" s="137"/>
      <c r="T34" s="122" t="str">
        <f t="shared" si="2"/>
        <v/>
      </c>
      <c r="U34" s="123" t="str">
        <f t="shared" si="3"/>
        <v/>
      </c>
      <c r="V34" s="17"/>
      <c r="W34" s="17"/>
      <c r="X34" s="17"/>
      <c r="Y34" s="17"/>
      <c r="Z34" s="17"/>
      <c r="AA34" s="17"/>
      <c r="AB34" s="17"/>
      <c r="AC34" s="17"/>
      <c r="AD34" s="17"/>
      <c r="AE34" s="17"/>
      <c r="AF34" s="17"/>
    </row>
    <row r="35" ht="15.75" customHeight="1">
      <c r="A35" s="17"/>
      <c r="B35" s="135">
        <v>21.0</v>
      </c>
      <c r="C35" s="113" t="str">
        <f>IF('INPUT DATA'!L31="","",'INPUT DATA'!L31)</f>
        <v/>
      </c>
      <c r="D35" s="114"/>
      <c r="E35" s="115"/>
      <c r="F35" s="116" t="str">
        <f>IF('INPUT DATA'!M31="","",'INPUT DATA'!M31)</f>
        <v/>
      </c>
      <c r="G35" s="115"/>
      <c r="H35" s="133" t="str">
        <f>IF('INPUT DATA'!N31="","",'INPUT DATA'!N31)</f>
        <v/>
      </c>
      <c r="I35" s="132" t="str">
        <f t="shared" si="1"/>
        <v/>
      </c>
      <c r="J35" s="132"/>
      <c r="K35" s="131"/>
      <c r="L35" s="130"/>
      <c r="M35" s="130"/>
      <c r="N35" s="130"/>
      <c r="O35" s="130"/>
      <c r="P35" s="130"/>
      <c r="Q35" s="130"/>
      <c r="R35" s="130"/>
      <c r="S35" s="130"/>
      <c r="T35" s="122" t="str">
        <f t="shared" si="2"/>
        <v/>
      </c>
      <c r="U35" s="123" t="str">
        <f t="shared" si="3"/>
        <v/>
      </c>
      <c r="V35" s="17"/>
      <c r="W35" s="17"/>
      <c r="X35" s="17"/>
      <c r="Y35" s="17"/>
      <c r="Z35" s="17"/>
      <c r="AA35" s="17"/>
      <c r="AB35" s="17"/>
      <c r="AC35" s="17"/>
      <c r="AD35" s="17"/>
      <c r="AE35" s="17"/>
      <c r="AF35" s="17"/>
    </row>
    <row r="36" ht="15.75" customHeight="1">
      <c r="A36" s="17"/>
      <c r="B36" s="135">
        <v>22.0</v>
      </c>
      <c r="C36" s="113" t="str">
        <f>IF('INPUT DATA'!L32="","",'INPUT DATA'!L32)</f>
        <v/>
      </c>
      <c r="D36" s="114"/>
      <c r="E36" s="115"/>
      <c r="F36" s="116" t="str">
        <f>IF('INPUT DATA'!M32="","",'INPUT DATA'!M32)</f>
        <v/>
      </c>
      <c r="G36" s="115"/>
      <c r="H36" s="133" t="str">
        <f>IF('INPUT DATA'!N32="","",'INPUT DATA'!N32)</f>
        <v/>
      </c>
      <c r="I36" s="132" t="str">
        <f t="shared" si="1"/>
        <v/>
      </c>
      <c r="J36" s="132"/>
      <c r="K36" s="131"/>
      <c r="L36" s="130"/>
      <c r="M36" s="130"/>
      <c r="N36" s="130"/>
      <c r="O36" s="130"/>
      <c r="P36" s="130"/>
      <c r="Q36" s="130"/>
      <c r="R36" s="130"/>
      <c r="S36" s="130"/>
      <c r="T36" s="122" t="str">
        <f t="shared" si="2"/>
        <v/>
      </c>
      <c r="U36" s="123" t="str">
        <f t="shared" si="3"/>
        <v/>
      </c>
      <c r="V36" s="17"/>
      <c r="W36" s="17"/>
      <c r="X36" s="17"/>
      <c r="Y36" s="17"/>
      <c r="Z36" s="17"/>
      <c r="AA36" s="17"/>
      <c r="AB36" s="17"/>
      <c r="AC36" s="17"/>
      <c r="AD36" s="17"/>
      <c r="AE36" s="17"/>
      <c r="AF36" s="17"/>
    </row>
    <row r="37" ht="15.75" customHeight="1">
      <c r="A37" s="17"/>
      <c r="B37" s="135">
        <v>23.0</v>
      </c>
      <c r="C37" s="113" t="str">
        <f>IF('INPUT DATA'!L33="","",'INPUT DATA'!L33)</f>
        <v/>
      </c>
      <c r="D37" s="114"/>
      <c r="E37" s="115"/>
      <c r="F37" s="116" t="str">
        <f>IF('INPUT DATA'!M33="","",'INPUT DATA'!M33)</f>
        <v/>
      </c>
      <c r="G37" s="115"/>
      <c r="H37" s="133" t="str">
        <f>IF('INPUT DATA'!N33="","",'INPUT DATA'!N33)</f>
        <v/>
      </c>
      <c r="I37" s="132" t="str">
        <f t="shared" si="1"/>
        <v/>
      </c>
      <c r="J37" s="132"/>
      <c r="K37" s="131"/>
      <c r="L37" s="130"/>
      <c r="M37" s="130"/>
      <c r="N37" s="130"/>
      <c r="O37" s="130"/>
      <c r="P37" s="130"/>
      <c r="Q37" s="130"/>
      <c r="R37" s="130"/>
      <c r="S37" s="130"/>
      <c r="T37" s="122" t="str">
        <f t="shared" si="2"/>
        <v/>
      </c>
      <c r="U37" s="123" t="str">
        <f t="shared" si="3"/>
        <v/>
      </c>
      <c r="V37" s="17"/>
      <c r="W37" s="17"/>
      <c r="X37" s="17"/>
      <c r="Y37" s="17"/>
      <c r="Z37" s="17"/>
      <c r="AA37" s="17"/>
      <c r="AB37" s="17"/>
      <c r="AC37" s="17"/>
      <c r="AD37" s="17"/>
      <c r="AE37" s="17"/>
      <c r="AF37" s="17"/>
    </row>
    <row r="38" ht="15.75" customHeight="1">
      <c r="A38" s="17"/>
      <c r="B38" s="135">
        <v>24.0</v>
      </c>
      <c r="C38" s="113" t="str">
        <f>IF('INPUT DATA'!L34="","",'INPUT DATA'!L34)</f>
        <v/>
      </c>
      <c r="D38" s="114"/>
      <c r="E38" s="115"/>
      <c r="F38" s="116" t="str">
        <f>IF('INPUT DATA'!M34="","",'INPUT DATA'!M34)</f>
        <v/>
      </c>
      <c r="G38" s="115"/>
      <c r="H38" s="133" t="str">
        <f>IF('INPUT DATA'!N34="","",'INPUT DATA'!N34)</f>
        <v/>
      </c>
      <c r="I38" s="132" t="str">
        <f t="shared" si="1"/>
        <v/>
      </c>
      <c r="J38" s="132"/>
      <c r="K38" s="131"/>
      <c r="L38" s="130"/>
      <c r="M38" s="130"/>
      <c r="N38" s="130"/>
      <c r="O38" s="130"/>
      <c r="P38" s="130"/>
      <c r="Q38" s="130"/>
      <c r="R38" s="130"/>
      <c r="S38" s="130"/>
      <c r="T38" s="122" t="str">
        <f t="shared" si="2"/>
        <v/>
      </c>
      <c r="U38" s="123" t="str">
        <f t="shared" si="3"/>
        <v/>
      </c>
      <c r="V38" s="17"/>
      <c r="W38" s="17"/>
      <c r="X38" s="17"/>
      <c r="Y38" s="17"/>
      <c r="Z38" s="17"/>
      <c r="AA38" s="17"/>
      <c r="AB38" s="17"/>
      <c r="AC38" s="17"/>
      <c r="AD38" s="17"/>
      <c r="AE38" s="17"/>
      <c r="AF38" s="17"/>
    </row>
    <row r="39" ht="15.75" customHeight="1">
      <c r="A39" s="17"/>
      <c r="B39" s="135">
        <v>25.0</v>
      </c>
      <c r="C39" s="113" t="str">
        <f>IF('INPUT DATA'!L35="","",'INPUT DATA'!L35)</f>
        <v/>
      </c>
      <c r="D39" s="114"/>
      <c r="E39" s="115"/>
      <c r="F39" s="116" t="str">
        <f>IF('INPUT DATA'!M35="","",'INPUT DATA'!M35)</f>
        <v/>
      </c>
      <c r="G39" s="115"/>
      <c r="H39" s="133" t="str">
        <f>IF('INPUT DATA'!N35="","",'INPUT DATA'!N35)</f>
        <v/>
      </c>
      <c r="I39" s="132" t="str">
        <f t="shared" si="1"/>
        <v/>
      </c>
      <c r="J39" s="132"/>
      <c r="K39" s="131"/>
      <c r="L39" s="130"/>
      <c r="M39" s="130"/>
      <c r="N39" s="130"/>
      <c r="O39" s="130"/>
      <c r="P39" s="130"/>
      <c r="Q39" s="130"/>
      <c r="R39" s="130"/>
      <c r="S39" s="130"/>
      <c r="T39" s="122" t="str">
        <f t="shared" si="2"/>
        <v/>
      </c>
      <c r="U39" s="123" t="str">
        <f t="shared" si="3"/>
        <v/>
      </c>
      <c r="V39" s="17"/>
      <c r="W39" s="17"/>
      <c r="X39" s="17"/>
      <c r="Y39" s="17"/>
      <c r="Z39" s="17"/>
      <c r="AA39" s="17"/>
      <c r="AB39" s="17"/>
      <c r="AC39" s="17"/>
      <c r="AD39" s="17"/>
      <c r="AE39" s="17"/>
      <c r="AF39" s="17"/>
    </row>
    <row r="40" ht="15.75" customHeight="1">
      <c r="A40" s="17"/>
      <c r="B40" s="135">
        <v>26.0</v>
      </c>
      <c r="C40" s="113" t="str">
        <f>IF('INPUT DATA'!L36="","",'INPUT DATA'!L36)</f>
        <v/>
      </c>
      <c r="D40" s="114"/>
      <c r="E40" s="115"/>
      <c r="F40" s="116" t="str">
        <f>IF('INPUT DATA'!M36="","",'INPUT DATA'!M36)</f>
        <v/>
      </c>
      <c r="G40" s="115"/>
      <c r="H40" s="133" t="str">
        <f>IF('INPUT DATA'!N36="","",'INPUT DATA'!N36)</f>
        <v/>
      </c>
      <c r="I40" s="132" t="str">
        <f t="shared" si="1"/>
        <v/>
      </c>
      <c r="J40" s="132"/>
      <c r="K40" s="131"/>
      <c r="L40" s="130"/>
      <c r="M40" s="130"/>
      <c r="N40" s="130"/>
      <c r="O40" s="130"/>
      <c r="P40" s="130"/>
      <c r="Q40" s="130"/>
      <c r="R40" s="130"/>
      <c r="S40" s="130"/>
      <c r="T40" s="122" t="str">
        <f t="shared" si="2"/>
        <v/>
      </c>
      <c r="U40" s="123" t="str">
        <f t="shared" si="3"/>
        <v/>
      </c>
      <c r="V40" s="17"/>
      <c r="W40" s="17"/>
      <c r="X40" s="17"/>
      <c r="Y40" s="17"/>
      <c r="Z40" s="17"/>
      <c r="AA40" s="17"/>
      <c r="AB40" s="17"/>
      <c r="AC40" s="17"/>
      <c r="AD40" s="17"/>
      <c r="AE40" s="17"/>
      <c r="AF40" s="17"/>
    </row>
    <row r="41" ht="15.75" customHeight="1">
      <c r="A41" s="17"/>
      <c r="B41" s="135">
        <v>27.0</v>
      </c>
      <c r="C41" s="113" t="str">
        <f>IF('INPUT DATA'!L37="","",'INPUT DATA'!L37)</f>
        <v/>
      </c>
      <c r="D41" s="114"/>
      <c r="E41" s="115"/>
      <c r="F41" s="116" t="str">
        <f>IF('INPUT DATA'!M37="","",'INPUT DATA'!M37)</f>
        <v/>
      </c>
      <c r="G41" s="115"/>
      <c r="H41" s="133" t="str">
        <f>IF('INPUT DATA'!N37="","",'INPUT DATA'!N37)</f>
        <v/>
      </c>
      <c r="I41" s="132" t="str">
        <f t="shared" si="1"/>
        <v/>
      </c>
      <c r="J41" s="132"/>
      <c r="K41" s="131"/>
      <c r="L41" s="130"/>
      <c r="M41" s="130"/>
      <c r="N41" s="130"/>
      <c r="O41" s="130"/>
      <c r="P41" s="130"/>
      <c r="Q41" s="130"/>
      <c r="R41" s="130"/>
      <c r="S41" s="130"/>
      <c r="T41" s="122" t="str">
        <f t="shared" si="2"/>
        <v/>
      </c>
      <c r="U41" s="123" t="str">
        <f t="shared" si="3"/>
        <v/>
      </c>
      <c r="V41" s="17"/>
      <c r="W41" s="17"/>
      <c r="X41" s="17"/>
      <c r="Y41" s="17"/>
      <c r="Z41" s="17"/>
      <c r="AA41" s="17"/>
      <c r="AB41" s="17"/>
      <c r="AC41" s="17"/>
      <c r="AD41" s="17"/>
      <c r="AE41" s="17"/>
      <c r="AF41" s="17"/>
    </row>
    <row r="42" ht="15.75" customHeight="1">
      <c r="A42" s="17"/>
      <c r="B42" s="135">
        <v>28.0</v>
      </c>
      <c r="C42" s="113" t="str">
        <f>IF('INPUT DATA'!L38="","",'INPUT DATA'!L38)</f>
        <v/>
      </c>
      <c r="D42" s="114"/>
      <c r="E42" s="115"/>
      <c r="F42" s="116" t="str">
        <f>IF('INPUT DATA'!M38="","",'INPUT DATA'!M38)</f>
        <v/>
      </c>
      <c r="G42" s="115"/>
      <c r="H42" s="133" t="str">
        <f>IF('INPUT DATA'!N38="","",'INPUT DATA'!N38)</f>
        <v/>
      </c>
      <c r="I42" s="132" t="str">
        <f t="shared" si="1"/>
        <v/>
      </c>
      <c r="J42" s="132"/>
      <c r="K42" s="131"/>
      <c r="L42" s="130"/>
      <c r="M42" s="130"/>
      <c r="N42" s="130"/>
      <c r="O42" s="130"/>
      <c r="P42" s="130"/>
      <c r="Q42" s="130"/>
      <c r="R42" s="130"/>
      <c r="S42" s="130"/>
      <c r="T42" s="122" t="str">
        <f t="shared" si="2"/>
        <v/>
      </c>
      <c r="U42" s="123" t="str">
        <f t="shared" si="3"/>
        <v/>
      </c>
      <c r="V42" s="17"/>
      <c r="W42" s="17"/>
      <c r="X42" s="17"/>
      <c r="Y42" s="17"/>
      <c r="Z42" s="17"/>
      <c r="AA42" s="17"/>
      <c r="AB42" s="17"/>
      <c r="AC42" s="17"/>
      <c r="AD42" s="17"/>
      <c r="AE42" s="17"/>
      <c r="AF42" s="17"/>
    </row>
    <row r="43" ht="15.75" customHeight="1">
      <c r="A43" s="17"/>
      <c r="B43" s="135">
        <v>29.0</v>
      </c>
      <c r="C43" s="113" t="str">
        <f>IF('INPUT DATA'!L39="","",'INPUT DATA'!L39)</f>
        <v/>
      </c>
      <c r="D43" s="114"/>
      <c r="E43" s="115"/>
      <c r="F43" s="116" t="str">
        <f>IF('INPUT DATA'!M39="","",'INPUT DATA'!M39)</f>
        <v/>
      </c>
      <c r="G43" s="115"/>
      <c r="H43" s="133" t="str">
        <f>IF('INPUT DATA'!N39="","",'INPUT DATA'!N39)</f>
        <v/>
      </c>
      <c r="I43" s="132" t="str">
        <f t="shared" si="1"/>
        <v/>
      </c>
      <c r="J43" s="132"/>
      <c r="K43" s="131"/>
      <c r="L43" s="130"/>
      <c r="M43" s="130"/>
      <c r="N43" s="130"/>
      <c r="O43" s="130"/>
      <c r="P43" s="130"/>
      <c r="Q43" s="130"/>
      <c r="R43" s="130"/>
      <c r="S43" s="130"/>
      <c r="T43" s="122" t="str">
        <f t="shared" si="2"/>
        <v/>
      </c>
      <c r="U43" s="123" t="str">
        <f t="shared" si="3"/>
        <v/>
      </c>
      <c r="V43" s="17"/>
      <c r="W43" s="17"/>
      <c r="X43" s="17"/>
      <c r="Y43" s="17"/>
      <c r="Z43" s="17"/>
      <c r="AA43" s="17"/>
      <c r="AB43" s="17"/>
      <c r="AC43" s="17"/>
      <c r="AD43" s="17"/>
      <c r="AE43" s="17"/>
      <c r="AF43" s="17"/>
    </row>
    <row r="44" ht="15.75" customHeight="1">
      <c r="A44" s="17"/>
      <c r="B44" s="135">
        <v>30.0</v>
      </c>
      <c r="C44" s="113" t="str">
        <f>IF('INPUT DATA'!L40="","",'INPUT DATA'!L40)</f>
        <v/>
      </c>
      <c r="D44" s="114"/>
      <c r="E44" s="115"/>
      <c r="F44" s="116" t="str">
        <f>IF('INPUT DATA'!M40="","",'INPUT DATA'!M40)</f>
        <v/>
      </c>
      <c r="G44" s="115"/>
      <c r="H44" s="133" t="str">
        <f>IF('INPUT DATA'!N40="","",'INPUT DATA'!N40)</f>
        <v/>
      </c>
      <c r="I44" s="132" t="str">
        <f t="shared" si="1"/>
        <v/>
      </c>
      <c r="J44" s="132"/>
      <c r="K44" s="131"/>
      <c r="L44" s="130"/>
      <c r="M44" s="130"/>
      <c r="N44" s="130"/>
      <c r="O44" s="130"/>
      <c r="P44" s="130"/>
      <c r="Q44" s="130"/>
      <c r="R44" s="130"/>
      <c r="S44" s="130"/>
      <c r="T44" s="122" t="str">
        <f t="shared" si="2"/>
        <v/>
      </c>
      <c r="U44" s="123" t="str">
        <f t="shared" si="3"/>
        <v/>
      </c>
      <c r="V44" s="17"/>
      <c r="W44" s="17"/>
      <c r="X44" s="17"/>
      <c r="Y44" s="17"/>
      <c r="Z44" s="17"/>
      <c r="AA44" s="17"/>
      <c r="AB44" s="17"/>
      <c r="AC44" s="17"/>
      <c r="AD44" s="17"/>
      <c r="AE44" s="17"/>
      <c r="AF44" s="17"/>
    </row>
    <row r="45" ht="15.75" customHeight="1">
      <c r="A45" s="17"/>
      <c r="B45" s="135">
        <v>31.0</v>
      </c>
      <c r="C45" s="113" t="str">
        <f>IF('INPUT DATA'!L41="","",'INPUT DATA'!L41)</f>
        <v/>
      </c>
      <c r="D45" s="114"/>
      <c r="E45" s="115"/>
      <c r="F45" s="116" t="str">
        <f>IF('INPUT DATA'!M41="","",'INPUT DATA'!M41)</f>
        <v/>
      </c>
      <c r="G45" s="115"/>
      <c r="H45" s="133" t="str">
        <f>IF('INPUT DATA'!N41="","",'INPUT DATA'!N41)</f>
        <v/>
      </c>
      <c r="I45" s="132" t="str">
        <f t="shared" si="1"/>
        <v/>
      </c>
      <c r="J45" s="132"/>
      <c r="K45" s="131"/>
      <c r="L45" s="130"/>
      <c r="M45" s="130"/>
      <c r="N45" s="130"/>
      <c r="O45" s="130"/>
      <c r="P45" s="130"/>
      <c r="Q45" s="130"/>
      <c r="R45" s="130"/>
      <c r="S45" s="130"/>
      <c r="T45" s="122" t="str">
        <f t="shared" si="2"/>
        <v/>
      </c>
      <c r="U45" s="123" t="str">
        <f t="shared" si="3"/>
        <v/>
      </c>
      <c r="V45" s="17"/>
      <c r="W45" s="17"/>
      <c r="X45" s="17"/>
      <c r="Y45" s="17"/>
      <c r="Z45" s="17"/>
      <c r="AA45" s="17"/>
      <c r="AB45" s="17"/>
      <c r="AC45" s="17"/>
      <c r="AD45" s="17"/>
      <c r="AE45" s="17"/>
      <c r="AF45" s="17"/>
    </row>
    <row r="46" ht="15.75" customHeight="1">
      <c r="A46" s="17"/>
      <c r="B46" s="135">
        <v>32.0</v>
      </c>
      <c r="C46" s="113" t="str">
        <f>IF('INPUT DATA'!L42="","",'INPUT DATA'!L42)</f>
        <v/>
      </c>
      <c r="D46" s="114"/>
      <c r="E46" s="115"/>
      <c r="F46" s="116" t="str">
        <f>IF('INPUT DATA'!M42="","",'INPUT DATA'!M42)</f>
        <v/>
      </c>
      <c r="G46" s="115"/>
      <c r="H46" s="133" t="str">
        <f>IF('INPUT DATA'!N42="","",'INPUT DATA'!N42)</f>
        <v/>
      </c>
      <c r="I46" s="132" t="str">
        <f t="shared" si="1"/>
        <v/>
      </c>
      <c r="J46" s="132"/>
      <c r="K46" s="131"/>
      <c r="L46" s="130"/>
      <c r="M46" s="130"/>
      <c r="N46" s="130"/>
      <c r="O46" s="130"/>
      <c r="P46" s="130"/>
      <c r="Q46" s="130"/>
      <c r="R46" s="130"/>
      <c r="S46" s="130"/>
      <c r="T46" s="122" t="str">
        <f t="shared" si="2"/>
        <v/>
      </c>
      <c r="U46" s="123" t="str">
        <f t="shared" si="3"/>
        <v/>
      </c>
      <c r="V46" s="17"/>
      <c r="W46" s="17"/>
      <c r="X46" s="17"/>
      <c r="Y46" s="17"/>
      <c r="Z46" s="17"/>
      <c r="AA46" s="17"/>
      <c r="AB46" s="17"/>
      <c r="AC46" s="17"/>
      <c r="AD46" s="17"/>
      <c r="AE46" s="17"/>
      <c r="AF46" s="17"/>
    </row>
    <row r="47" ht="15.75" customHeight="1">
      <c r="A47" s="17"/>
      <c r="B47" s="135">
        <v>33.0</v>
      </c>
      <c r="C47" s="113" t="str">
        <f>IF('INPUT DATA'!L43="","",'INPUT DATA'!L43)</f>
        <v/>
      </c>
      <c r="D47" s="114"/>
      <c r="E47" s="115"/>
      <c r="F47" s="116" t="str">
        <f>IF('INPUT DATA'!M43="","",'INPUT DATA'!M43)</f>
        <v/>
      </c>
      <c r="G47" s="115"/>
      <c r="H47" s="133" t="str">
        <f>IF('INPUT DATA'!N43="","",'INPUT DATA'!N43)</f>
        <v/>
      </c>
      <c r="I47" s="132" t="str">
        <f t="shared" si="1"/>
        <v/>
      </c>
      <c r="J47" s="132"/>
      <c r="K47" s="131"/>
      <c r="L47" s="130"/>
      <c r="M47" s="130"/>
      <c r="N47" s="130"/>
      <c r="O47" s="130"/>
      <c r="P47" s="130"/>
      <c r="Q47" s="130"/>
      <c r="R47" s="130"/>
      <c r="S47" s="130"/>
      <c r="T47" s="122" t="str">
        <f t="shared" si="2"/>
        <v/>
      </c>
      <c r="U47" s="123" t="str">
        <f t="shared" si="3"/>
        <v/>
      </c>
      <c r="V47" s="17"/>
      <c r="W47" s="17"/>
      <c r="X47" s="17"/>
      <c r="Y47" s="17"/>
      <c r="Z47" s="17"/>
      <c r="AA47" s="17"/>
      <c r="AB47" s="17"/>
      <c r="AC47" s="17"/>
      <c r="AD47" s="17"/>
      <c r="AE47" s="17"/>
      <c r="AF47" s="17"/>
    </row>
    <row r="48" ht="15.75" customHeight="1">
      <c r="A48" s="17"/>
      <c r="B48" s="135">
        <v>34.0</v>
      </c>
      <c r="C48" s="113" t="str">
        <f>IF('INPUT DATA'!L44="","",'INPUT DATA'!L44)</f>
        <v/>
      </c>
      <c r="D48" s="114"/>
      <c r="E48" s="115"/>
      <c r="F48" s="116" t="str">
        <f>IF('INPUT DATA'!M44="","",'INPUT DATA'!M44)</f>
        <v/>
      </c>
      <c r="G48" s="115"/>
      <c r="H48" s="133" t="str">
        <f>IF('INPUT DATA'!N44="","",'INPUT DATA'!N44)</f>
        <v/>
      </c>
      <c r="I48" s="132" t="str">
        <f t="shared" si="1"/>
        <v/>
      </c>
      <c r="J48" s="132"/>
      <c r="K48" s="131"/>
      <c r="L48" s="130"/>
      <c r="M48" s="130"/>
      <c r="N48" s="130"/>
      <c r="O48" s="130"/>
      <c r="P48" s="130"/>
      <c r="Q48" s="130"/>
      <c r="R48" s="130"/>
      <c r="S48" s="130"/>
      <c r="T48" s="122" t="str">
        <f t="shared" si="2"/>
        <v/>
      </c>
      <c r="U48" s="123" t="str">
        <f t="shared" si="3"/>
        <v/>
      </c>
      <c r="V48" s="17"/>
      <c r="W48" s="17"/>
      <c r="X48" s="17"/>
      <c r="Y48" s="17"/>
      <c r="Z48" s="17"/>
      <c r="AA48" s="17"/>
      <c r="AB48" s="17"/>
      <c r="AC48" s="17"/>
      <c r="AD48" s="17"/>
      <c r="AE48" s="17"/>
      <c r="AF48" s="17"/>
    </row>
    <row r="49" ht="15.75" customHeight="1">
      <c r="A49" s="17"/>
      <c r="B49" s="135">
        <v>35.0</v>
      </c>
      <c r="C49" s="113" t="str">
        <f>IF('INPUT DATA'!L45="","",'INPUT DATA'!L45)</f>
        <v/>
      </c>
      <c r="D49" s="114"/>
      <c r="E49" s="115"/>
      <c r="F49" s="116" t="str">
        <f>IF('INPUT DATA'!M45="","",'INPUT DATA'!M45)</f>
        <v/>
      </c>
      <c r="G49" s="115"/>
      <c r="H49" s="133" t="str">
        <f>IF('INPUT DATA'!N45="","",'INPUT DATA'!N45)</f>
        <v/>
      </c>
      <c r="I49" s="132" t="str">
        <f t="shared" si="1"/>
        <v/>
      </c>
      <c r="J49" s="132"/>
      <c r="K49" s="131"/>
      <c r="L49" s="130"/>
      <c r="M49" s="130"/>
      <c r="N49" s="130"/>
      <c r="O49" s="130"/>
      <c r="P49" s="130"/>
      <c r="Q49" s="130"/>
      <c r="R49" s="130"/>
      <c r="S49" s="130"/>
      <c r="T49" s="122" t="str">
        <f t="shared" si="2"/>
        <v/>
      </c>
      <c r="U49" s="123" t="str">
        <f t="shared" si="3"/>
        <v/>
      </c>
      <c r="V49" s="17"/>
      <c r="W49" s="17"/>
      <c r="X49" s="17"/>
      <c r="Y49" s="17"/>
      <c r="Z49" s="17"/>
      <c r="AA49" s="17"/>
      <c r="AB49" s="17"/>
      <c r="AC49" s="17"/>
      <c r="AD49" s="17"/>
      <c r="AE49" s="17"/>
      <c r="AF49" s="17"/>
    </row>
    <row r="50" ht="15.75" customHeight="1">
      <c r="A50" s="17"/>
      <c r="B50" s="135">
        <v>36.0</v>
      </c>
      <c r="C50" s="113" t="str">
        <f>IF('INPUT DATA'!L46="","",'INPUT DATA'!L46)</f>
        <v/>
      </c>
      <c r="D50" s="114"/>
      <c r="E50" s="115"/>
      <c r="F50" s="116" t="str">
        <f>IF('INPUT DATA'!M46="","",'INPUT DATA'!M46)</f>
        <v/>
      </c>
      <c r="G50" s="115"/>
      <c r="H50" s="133" t="str">
        <f>IF('INPUT DATA'!N46="","",'INPUT DATA'!N46)</f>
        <v/>
      </c>
      <c r="I50" s="132" t="str">
        <f t="shared" si="1"/>
        <v/>
      </c>
      <c r="J50" s="132"/>
      <c r="K50" s="131"/>
      <c r="L50" s="130"/>
      <c r="M50" s="130"/>
      <c r="N50" s="130"/>
      <c r="O50" s="130"/>
      <c r="P50" s="130"/>
      <c r="Q50" s="130"/>
      <c r="R50" s="130"/>
      <c r="S50" s="130"/>
      <c r="T50" s="122" t="str">
        <f t="shared" si="2"/>
        <v/>
      </c>
      <c r="U50" s="123" t="str">
        <f t="shared" si="3"/>
        <v/>
      </c>
      <c r="V50" s="17"/>
      <c r="W50" s="17"/>
      <c r="X50" s="17"/>
      <c r="Y50" s="17"/>
      <c r="Z50" s="17"/>
      <c r="AA50" s="17"/>
      <c r="AB50" s="17"/>
      <c r="AC50" s="17"/>
      <c r="AD50" s="17"/>
      <c r="AE50" s="17"/>
      <c r="AF50" s="17"/>
    </row>
    <row r="51" ht="15.75" customHeight="1">
      <c r="A51" s="17"/>
      <c r="B51" s="135">
        <v>37.0</v>
      </c>
      <c r="C51" s="113" t="str">
        <f>IF('INPUT DATA'!L47="","",'INPUT DATA'!L47)</f>
        <v/>
      </c>
      <c r="D51" s="114"/>
      <c r="E51" s="115"/>
      <c r="F51" s="116" t="str">
        <f>IF('INPUT DATA'!M47="","",'INPUT DATA'!M47)</f>
        <v/>
      </c>
      <c r="G51" s="115"/>
      <c r="H51" s="133" t="str">
        <f>IF('INPUT DATA'!N47="","",'INPUT DATA'!N47)</f>
        <v/>
      </c>
      <c r="I51" s="132" t="str">
        <f t="shared" si="1"/>
        <v/>
      </c>
      <c r="J51" s="132"/>
      <c r="K51" s="131"/>
      <c r="L51" s="130"/>
      <c r="M51" s="130"/>
      <c r="N51" s="130"/>
      <c r="O51" s="130"/>
      <c r="P51" s="130"/>
      <c r="Q51" s="130"/>
      <c r="R51" s="130"/>
      <c r="S51" s="130"/>
      <c r="T51" s="122" t="str">
        <f t="shared" si="2"/>
        <v/>
      </c>
      <c r="U51" s="123" t="str">
        <f t="shared" si="3"/>
        <v/>
      </c>
      <c r="V51" s="17"/>
      <c r="W51" s="17"/>
      <c r="X51" s="17"/>
      <c r="Y51" s="17"/>
      <c r="Z51" s="17"/>
      <c r="AA51" s="17"/>
      <c r="AB51" s="17"/>
      <c r="AC51" s="17"/>
      <c r="AD51" s="17"/>
      <c r="AE51" s="17"/>
      <c r="AF51" s="17"/>
    </row>
    <row r="52" ht="15.75" customHeight="1">
      <c r="A52" s="17"/>
      <c r="B52" s="135">
        <v>38.0</v>
      </c>
      <c r="C52" s="113" t="str">
        <f>IF('INPUT DATA'!L48="","",'INPUT DATA'!L48)</f>
        <v/>
      </c>
      <c r="D52" s="114"/>
      <c r="E52" s="115"/>
      <c r="F52" s="116" t="str">
        <f>IF('INPUT DATA'!M48="","",'INPUT DATA'!M48)</f>
        <v/>
      </c>
      <c r="G52" s="115"/>
      <c r="H52" s="133" t="str">
        <f>IF('INPUT DATA'!N48="","",'INPUT DATA'!N48)</f>
        <v/>
      </c>
      <c r="I52" s="132" t="str">
        <f t="shared" si="1"/>
        <v/>
      </c>
      <c r="J52" s="132"/>
      <c r="K52" s="131"/>
      <c r="L52" s="130"/>
      <c r="M52" s="130"/>
      <c r="N52" s="130"/>
      <c r="O52" s="130"/>
      <c r="P52" s="130"/>
      <c r="Q52" s="130"/>
      <c r="R52" s="130"/>
      <c r="S52" s="130"/>
      <c r="T52" s="122" t="str">
        <f t="shared" si="2"/>
        <v/>
      </c>
      <c r="U52" s="123" t="str">
        <f t="shared" si="3"/>
        <v/>
      </c>
      <c r="V52" s="17"/>
      <c r="W52" s="17"/>
      <c r="X52" s="17"/>
      <c r="Y52" s="17"/>
      <c r="Z52" s="17"/>
      <c r="AA52" s="17"/>
      <c r="AB52" s="17"/>
      <c r="AC52" s="17"/>
      <c r="AD52" s="17"/>
      <c r="AE52" s="17"/>
      <c r="AF52" s="17"/>
    </row>
    <row r="53" ht="15.75" customHeight="1">
      <c r="A53" s="17"/>
      <c r="B53" s="135">
        <v>39.0</v>
      </c>
      <c r="C53" s="113" t="str">
        <f>IF('INPUT DATA'!L49="","",'INPUT DATA'!L49)</f>
        <v/>
      </c>
      <c r="D53" s="114"/>
      <c r="E53" s="115"/>
      <c r="F53" s="116" t="str">
        <f>IF('INPUT DATA'!M49="","",'INPUT DATA'!M49)</f>
        <v/>
      </c>
      <c r="G53" s="115"/>
      <c r="H53" s="133" t="str">
        <f>IF('INPUT DATA'!N49="","",'INPUT DATA'!N49)</f>
        <v/>
      </c>
      <c r="I53" s="132" t="str">
        <f t="shared" si="1"/>
        <v/>
      </c>
      <c r="J53" s="132"/>
      <c r="K53" s="131"/>
      <c r="L53" s="130"/>
      <c r="M53" s="130"/>
      <c r="N53" s="130"/>
      <c r="O53" s="130"/>
      <c r="P53" s="130"/>
      <c r="Q53" s="130"/>
      <c r="R53" s="130"/>
      <c r="S53" s="130"/>
      <c r="T53" s="122" t="str">
        <f t="shared" si="2"/>
        <v/>
      </c>
      <c r="U53" s="123" t="str">
        <f t="shared" si="3"/>
        <v/>
      </c>
      <c r="V53" s="17"/>
      <c r="W53" s="17"/>
      <c r="X53" s="17"/>
      <c r="Y53" s="17"/>
      <c r="Z53" s="17"/>
      <c r="AA53" s="17"/>
      <c r="AB53" s="17"/>
      <c r="AC53" s="17"/>
      <c r="AD53" s="17"/>
      <c r="AE53" s="17"/>
      <c r="AF53" s="17"/>
    </row>
    <row r="54" ht="15.75" customHeight="1">
      <c r="A54" s="17"/>
      <c r="B54" s="135">
        <v>40.0</v>
      </c>
      <c r="C54" s="113" t="str">
        <f>IF('INPUT DATA'!L50="","",'INPUT DATA'!L50)</f>
        <v/>
      </c>
      <c r="D54" s="114"/>
      <c r="E54" s="115"/>
      <c r="F54" s="116" t="str">
        <f>IF('INPUT DATA'!M50="","",'INPUT DATA'!M50)</f>
        <v/>
      </c>
      <c r="G54" s="115"/>
      <c r="H54" s="133" t="str">
        <f>IF('INPUT DATA'!N50="","",'INPUT DATA'!N50)</f>
        <v/>
      </c>
      <c r="I54" s="132" t="str">
        <f t="shared" si="1"/>
        <v/>
      </c>
      <c r="J54" s="132"/>
      <c r="K54" s="131"/>
      <c r="L54" s="130"/>
      <c r="M54" s="130"/>
      <c r="N54" s="130"/>
      <c r="O54" s="130"/>
      <c r="P54" s="130"/>
      <c r="Q54" s="130"/>
      <c r="R54" s="130"/>
      <c r="S54" s="130"/>
      <c r="T54" s="122" t="str">
        <f t="shared" si="2"/>
        <v/>
      </c>
      <c r="U54" s="123" t="str">
        <f t="shared" si="3"/>
        <v/>
      </c>
      <c r="V54" s="17"/>
      <c r="W54" s="17"/>
      <c r="X54" s="17"/>
      <c r="Y54" s="17"/>
      <c r="Z54" s="17"/>
      <c r="AA54" s="17"/>
      <c r="AB54" s="17"/>
      <c r="AC54" s="17"/>
      <c r="AD54" s="17"/>
      <c r="AE54" s="17"/>
      <c r="AF54" s="17"/>
    </row>
    <row r="55" ht="15.75" customHeight="1">
      <c r="A55" s="17"/>
      <c r="B55" s="135">
        <v>41.0</v>
      </c>
      <c r="C55" s="113" t="str">
        <f>IF('INPUT DATA'!L51="","",'INPUT DATA'!L51)</f>
        <v/>
      </c>
      <c r="D55" s="114"/>
      <c r="E55" s="115"/>
      <c r="F55" s="116" t="str">
        <f>IF('INPUT DATA'!M51="","",'INPUT DATA'!M51)</f>
        <v/>
      </c>
      <c r="G55" s="115"/>
      <c r="H55" s="133" t="str">
        <f>IF('INPUT DATA'!N51="","",'INPUT DATA'!N51)</f>
        <v/>
      </c>
      <c r="I55" s="132" t="str">
        <f t="shared" si="1"/>
        <v/>
      </c>
      <c r="J55" s="132"/>
      <c r="K55" s="131"/>
      <c r="L55" s="130"/>
      <c r="M55" s="130"/>
      <c r="N55" s="130"/>
      <c r="O55" s="130"/>
      <c r="P55" s="130"/>
      <c r="Q55" s="130"/>
      <c r="R55" s="130"/>
      <c r="S55" s="130"/>
      <c r="T55" s="122" t="str">
        <f t="shared" si="2"/>
        <v/>
      </c>
      <c r="U55" s="123" t="str">
        <f t="shared" si="3"/>
        <v/>
      </c>
      <c r="V55" s="17"/>
      <c r="W55" s="17"/>
      <c r="X55" s="17"/>
      <c r="Y55" s="17"/>
      <c r="Z55" s="17"/>
      <c r="AA55" s="17"/>
      <c r="AB55" s="17"/>
      <c r="AC55" s="17"/>
      <c r="AD55" s="17"/>
      <c r="AE55" s="17"/>
      <c r="AF55" s="17"/>
    </row>
    <row r="56" ht="15.75" customHeight="1">
      <c r="A56" s="17"/>
      <c r="B56" s="135">
        <v>42.0</v>
      </c>
      <c r="C56" s="113" t="str">
        <f>IF('INPUT DATA'!L52="","",'INPUT DATA'!L52)</f>
        <v/>
      </c>
      <c r="D56" s="114"/>
      <c r="E56" s="115"/>
      <c r="F56" s="116" t="str">
        <f>IF('INPUT DATA'!M52="","",'INPUT DATA'!M52)</f>
        <v/>
      </c>
      <c r="G56" s="115"/>
      <c r="H56" s="133" t="str">
        <f>IF('INPUT DATA'!N52="","",'INPUT DATA'!N52)</f>
        <v/>
      </c>
      <c r="I56" s="132" t="str">
        <f t="shared" si="1"/>
        <v/>
      </c>
      <c r="J56" s="132"/>
      <c r="K56" s="131"/>
      <c r="L56" s="130"/>
      <c r="M56" s="130"/>
      <c r="N56" s="130"/>
      <c r="O56" s="130"/>
      <c r="P56" s="130"/>
      <c r="Q56" s="130"/>
      <c r="R56" s="130"/>
      <c r="S56" s="130"/>
      <c r="T56" s="122" t="str">
        <f t="shared" si="2"/>
        <v/>
      </c>
      <c r="U56" s="123" t="str">
        <f t="shared" si="3"/>
        <v/>
      </c>
      <c r="V56" s="17"/>
      <c r="W56" s="17"/>
      <c r="X56" s="17"/>
      <c r="Y56" s="17"/>
      <c r="Z56" s="17"/>
      <c r="AA56" s="17"/>
      <c r="AB56" s="17"/>
      <c r="AC56" s="17"/>
      <c r="AD56" s="17"/>
      <c r="AE56" s="17"/>
      <c r="AF56" s="17"/>
    </row>
    <row r="57" ht="15.75" customHeight="1">
      <c r="A57" s="17"/>
      <c r="B57" s="135">
        <v>43.0</v>
      </c>
      <c r="C57" s="113" t="str">
        <f>IF('INPUT DATA'!L53="","",'INPUT DATA'!L53)</f>
        <v/>
      </c>
      <c r="D57" s="114"/>
      <c r="E57" s="115"/>
      <c r="F57" s="116" t="str">
        <f>IF('INPUT DATA'!M53="","",'INPUT DATA'!M53)</f>
        <v/>
      </c>
      <c r="G57" s="115"/>
      <c r="H57" s="133" t="str">
        <f>IF('INPUT DATA'!N53="","",'INPUT DATA'!N53)</f>
        <v/>
      </c>
      <c r="I57" s="132" t="str">
        <f t="shared" si="1"/>
        <v/>
      </c>
      <c r="J57" s="132"/>
      <c r="K57" s="131"/>
      <c r="L57" s="130"/>
      <c r="M57" s="130"/>
      <c r="N57" s="130"/>
      <c r="O57" s="130"/>
      <c r="P57" s="130"/>
      <c r="Q57" s="130"/>
      <c r="R57" s="130"/>
      <c r="S57" s="130"/>
      <c r="T57" s="122" t="str">
        <f t="shared" si="2"/>
        <v/>
      </c>
      <c r="U57" s="123" t="str">
        <f t="shared" si="3"/>
        <v/>
      </c>
      <c r="V57" s="17"/>
      <c r="W57" s="17"/>
      <c r="X57" s="17"/>
      <c r="Y57" s="17"/>
      <c r="Z57" s="17"/>
      <c r="AA57" s="17"/>
      <c r="AB57" s="17"/>
      <c r="AC57" s="17"/>
      <c r="AD57" s="17"/>
      <c r="AE57" s="17"/>
      <c r="AF57" s="17"/>
    </row>
    <row r="58" ht="15.75" customHeight="1">
      <c r="A58" s="17"/>
      <c r="B58" s="135">
        <v>44.0</v>
      </c>
      <c r="C58" s="113" t="str">
        <f>IF('INPUT DATA'!L54="","",'INPUT DATA'!L54)</f>
        <v/>
      </c>
      <c r="D58" s="114"/>
      <c r="E58" s="115"/>
      <c r="F58" s="116" t="str">
        <f>IF('INPUT DATA'!M54="","",'INPUT DATA'!M54)</f>
        <v/>
      </c>
      <c r="G58" s="115"/>
      <c r="H58" s="133" t="str">
        <f>IF('INPUT DATA'!N54="","",'INPUT DATA'!N54)</f>
        <v/>
      </c>
      <c r="I58" s="132" t="str">
        <f t="shared" si="1"/>
        <v/>
      </c>
      <c r="J58" s="132"/>
      <c r="K58" s="131"/>
      <c r="L58" s="130"/>
      <c r="M58" s="130"/>
      <c r="N58" s="130"/>
      <c r="O58" s="130"/>
      <c r="P58" s="130"/>
      <c r="Q58" s="130"/>
      <c r="R58" s="130"/>
      <c r="S58" s="130"/>
      <c r="T58" s="122" t="str">
        <f t="shared" si="2"/>
        <v/>
      </c>
      <c r="U58" s="123" t="str">
        <f t="shared" si="3"/>
        <v/>
      </c>
      <c r="V58" s="17"/>
      <c r="W58" s="17"/>
      <c r="X58" s="17"/>
      <c r="Y58" s="17"/>
      <c r="Z58" s="17"/>
      <c r="AA58" s="17"/>
      <c r="AB58" s="17"/>
      <c r="AC58" s="17"/>
      <c r="AD58" s="17"/>
      <c r="AE58" s="17"/>
      <c r="AF58" s="17"/>
    </row>
    <row r="59" ht="15.75" customHeight="1">
      <c r="A59" s="17"/>
      <c r="B59" s="135">
        <v>45.0</v>
      </c>
      <c r="C59" s="113" t="str">
        <f>IF('INPUT DATA'!L55="","",'INPUT DATA'!L55)</f>
        <v/>
      </c>
      <c r="D59" s="114"/>
      <c r="E59" s="115"/>
      <c r="F59" s="116" t="str">
        <f>IF('INPUT DATA'!M55="","",'INPUT DATA'!M55)</f>
        <v/>
      </c>
      <c r="G59" s="115"/>
      <c r="H59" s="133" t="str">
        <f>IF('INPUT DATA'!N55="","",'INPUT DATA'!N55)</f>
        <v/>
      </c>
      <c r="I59" s="132" t="str">
        <f t="shared" si="1"/>
        <v/>
      </c>
      <c r="J59" s="132"/>
      <c r="K59" s="136"/>
      <c r="L59" s="137"/>
      <c r="M59" s="137"/>
      <c r="N59" s="137"/>
      <c r="O59" s="137"/>
      <c r="P59" s="137"/>
      <c r="Q59" s="137"/>
      <c r="R59" s="137"/>
      <c r="S59" s="137"/>
      <c r="T59" s="122" t="str">
        <f t="shared" si="2"/>
        <v/>
      </c>
      <c r="U59" s="123" t="str">
        <f t="shared" si="3"/>
        <v/>
      </c>
      <c r="V59" s="17"/>
      <c r="W59" s="17"/>
      <c r="X59" s="17"/>
      <c r="Y59" s="17"/>
      <c r="Z59" s="17"/>
      <c r="AA59" s="17"/>
      <c r="AB59" s="17"/>
      <c r="AC59" s="17"/>
      <c r="AD59" s="17"/>
      <c r="AE59" s="17"/>
      <c r="AF59" s="17"/>
    </row>
    <row r="60" ht="15.75" customHeight="1">
      <c r="A60" s="17"/>
      <c r="B60" s="135">
        <v>46.0</v>
      </c>
      <c r="C60" s="113" t="str">
        <f>IF('INPUT DATA'!L56="","",'INPUT DATA'!L56)</f>
        <v/>
      </c>
      <c r="D60" s="114"/>
      <c r="E60" s="115"/>
      <c r="F60" s="116" t="str">
        <f>IF('INPUT DATA'!M56="","",'INPUT DATA'!M56)</f>
        <v/>
      </c>
      <c r="G60" s="115"/>
      <c r="H60" s="133" t="str">
        <f>IF('INPUT DATA'!N56="","",'INPUT DATA'!N56)</f>
        <v/>
      </c>
      <c r="I60" s="132" t="str">
        <f t="shared" si="1"/>
        <v/>
      </c>
      <c r="J60" s="132"/>
      <c r="K60" s="131"/>
      <c r="L60" s="130"/>
      <c r="M60" s="130"/>
      <c r="N60" s="130"/>
      <c r="O60" s="130"/>
      <c r="P60" s="130"/>
      <c r="Q60" s="130"/>
      <c r="R60" s="130"/>
      <c r="S60" s="130"/>
      <c r="T60" s="122" t="str">
        <f t="shared" si="2"/>
        <v/>
      </c>
      <c r="U60" s="123" t="str">
        <f t="shared" si="3"/>
        <v/>
      </c>
      <c r="V60" s="17"/>
      <c r="W60" s="17"/>
      <c r="X60" s="17"/>
      <c r="Y60" s="17"/>
      <c r="Z60" s="17"/>
      <c r="AA60" s="17"/>
      <c r="AB60" s="17"/>
      <c r="AC60" s="17"/>
      <c r="AD60" s="17"/>
      <c r="AE60" s="17"/>
      <c r="AF60" s="17"/>
    </row>
    <row r="61" ht="15.75" customHeight="1">
      <c r="A61" s="17"/>
      <c r="B61" s="135">
        <v>47.0</v>
      </c>
      <c r="C61" s="113" t="str">
        <f>IF('INPUT DATA'!L57="","",'INPUT DATA'!L57)</f>
        <v/>
      </c>
      <c r="D61" s="114"/>
      <c r="E61" s="115"/>
      <c r="F61" s="116" t="str">
        <f>IF('INPUT DATA'!M57="","",'INPUT DATA'!M57)</f>
        <v/>
      </c>
      <c r="G61" s="115"/>
      <c r="H61" s="133" t="str">
        <f>IF('INPUT DATA'!N57="","",'INPUT DATA'!N57)</f>
        <v/>
      </c>
      <c r="I61" s="132" t="str">
        <f t="shared" si="1"/>
        <v/>
      </c>
      <c r="J61" s="132"/>
      <c r="K61" s="131"/>
      <c r="L61" s="130"/>
      <c r="M61" s="130"/>
      <c r="N61" s="130"/>
      <c r="O61" s="130"/>
      <c r="P61" s="130"/>
      <c r="Q61" s="130"/>
      <c r="R61" s="130"/>
      <c r="S61" s="130"/>
      <c r="T61" s="122" t="str">
        <f t="shared" si="2"/>
        <v/>
      </c>
      <c r="U61" s="123" t="str">
        <f t="shared" si="3"/>
        <v/>
      </c>
      <c r="V61" s="17"/>
      <c r="W61" s="17"/>
      <c r="X61" s="17"/>
      <c r="Y61" s="17"/>
      <c r="Z61" s="17"/>
      <c r="AA61" s="17"/>
      <c r="AB61" s="17"/>
      <c r="AC61" s="17"/>
      <c r="AD61" s="17"/>
      <c r="AE61" s="17"/>
      <c r="AF61" s="17"/>
    </row>
    <row r="62" ht="15.75" customHeight="1">
      <c r="A62" s="17"/>
      <c r="B62" s="135">
        <v>48.0</v>
      </c>
      <c r="C62" s="113" t="str">
        <f>IF('INPUT DATA'!L58="","",'INPUT DATA'!L58)</f>
        <v/>
      </c>
      <c r="D62" s="114"/>
      <c r="E62" s="115"/>
      <c r="F62" s="116" t="str">
        <f>IF('INPUT DATA'!M58="","",'INPUT DATA'!M58)</f>
        <v/>
      </c>
      <c r="G62" s="115"/>
      <c r="H62" s="133" t="str">
        <f>IF('INPUT DATA'!N58="","",'INPUT DATA'!N58)</f>
        <v/>
      </c>
      <c r="I62" s="132" t="str">
        <f t="shared" si="1"/>
        <v/>
      </c>
      <c r="J62" s="132"/>
      <c r="K62" s="131"/>
      <c r="L62" s="130"/>
      <c r="M62" s="130"/>
      <c r="N62" s="130"/>
      <c r="O62" s="130"/>
      <c r="P62" s="130"/>
      <c r="Q62" s="130"/>
      <c r="R62" s="130"/>
      <c r="S62" s="130"/>
      <c r="T62" s="122" t="str">
        <f t="shared" si="2"/>
        <v/>
      </c>
      <c r="U62" s="123" t="str">
        <f t="shared" si="3"/>
        <v/>
      </c>
      <c r="V62" s="17"/>
      <c r="W62" s="17"/>
      <c r="X62" s="17"/>
      <c r="Y62" s="17"/>
      <c r="Z62" s="17"/>
      <c r="AA62" s="17"/>
      <c r="AB62" s="17"/>
      <c r="AC62" s="17"/>
      <c r="AD62" s="17"/>
      <c r="AE62" s="17"/>
      <c r="AF62" s="17"/>
    </row>
    <row r="63" ht="15.75" customHeight="1">
      <c r="A63" s="17"/>
      <c r="B63" s="135">
        <v>49.0</v>
      </c>
      <c r="C63" s="113" t="str">
        <f>IF('INPUT DATA'!L59="","",'INPUT DATA'!L59)</f>
        <v/>
      </c>
      <c r="D63" s="114"/>
      <c r="E63" s="115"/>
      <c r="F63" s="116" t="str">
        <f>IF('INPUT DATA'!M59="","",'INPUT DATA'!M59)</f>
        <v/>
      </c>
      <c r="G63" s="115"/>
      <c r="H63" s="133" t="str">
        <f>IF('INPUT DATA'!N59="","",'INPUT DATA'!N59)</f>
        <v/>
      </c>
      <c r="I63" s="132" t="str">
        <f t="shared" si="1"/>
        <v/>
      </c>
      <c r="J63" s="132"/>
      <c r="K63" s="131"/>
      <c r="L63" s="130"/>
      <c r="M63" s="130"/>
      <c r="N63" s="130"/>
      <c r="O63" s="130"/>
      <c r="P63" s="130"/>
      <c r="Q63" s="130"/>
      <c r="R63" s="130"/>
      <c r="S63" s="130"/>
      <c r="T63" s="122" t="str">
        <f t="shared" si="2"/>
        <v/>
      </c>
      <c r="U63" s="123" t="str">
        <f t="shared" si="3"/>
        <v/>
      </c>
      <c r="V63" s="17"/>
      <c r="W63" s="17"/>
      <c r="X63" s="17"/>
      <c r="Y63" s="17"/>
      <c r="Z63" s="17"/>
      <c r="AA63" s="17"/>
      <c r="AB63" s="17"/>
      <c r="AC63" s="17"/>
      <c r="AD63" s="17"/>
      <c r="AE63" s="17"/>
      <c r="AF63" s="17"/>
    </row>
    <row r="64" ht="15.75" customHeight="1">
      <c r="A64" s="17"/>
      <c r="B64" s="138">
        <v>50.0</v>
      </c>
      <c r="C64" s="139" t="str">
        <f>IF('INPUT DATA'!L60="","",'INPUT DATA'!L60)</f>
        <v/>
      </c>
      <c r="D64" s="140"/>
      <c r="E64" s="141"/>
      <c r="F64" s="142" t="str">
        <f>IF('INPUT DATA'!M60="","",'INPUT DATA'!M60)</f>
        <v/>
      </c>
      <c r="G64" s="141"/>
      <c r="H64" s="143" t="str">
        <f>IF('INPUT DATA'!N60="","",'INPUT DATA'!N60)</f>
        <v/>
      </c>
      <c r="I64" s="132" t="str">
        <f t="shared" si="1"/>
        <v/>
      </c>
      <c r="J64" s="144"/>
      <c r="K64" s="145"/>
      <c r="L64" s="146"/>
      <c r="M64" s="146"/>
      <c r="N64" s="146"/>
      <c r="O64" s="146"/>
      <c r="P64" s="146"/>
      <c r="Q64" s="146"/>
      <c r="R64" s="146"/>
      <c r="S64" s="146"/>
      <c r="T64" s="122" t="str">
        <f t="shared" si="2"/>
        <v/>
      </c>
      <c r="U64" s="123" t="str">
        <f t="shared" si="3"/>
        <v/>
      </c>
      <c r="V64" s="17"/>
      <c r="W64" s="17"/>
      <c r="X64" s="17"/>
      <c r="Y64" s="17"/>
      <c r="Z64" s="17"/>
      <c r="AA64" s="17"/>
      <c r="AB64" s="17"/>
      <c r="AC64" s="17"/>
      <c r="AD64" s="17"/>
      <c r="AE64" s="17"/>
      <c r="AF64" s="17"/>
    </row>
    <row r="65" ht="15.75" customHeight="1">
      <c r="A65" s="17"/>
      <c r="B65" s="147" t="s">
        <v>12</v>
      </c>
      <c r="C65" s="148"/>
      <c r="D65" s="148"/>
      <c r="E65" s="148"/>
      <c r="F65" s="149"/>
      <c r="G65" s="149"/>
      <c r="H65" s="148"/>
      <c r="I65" s="150"/>
      <c r="J65" s="151"/>
      <c r="K65" s="150"/>
      <c r="L65" s="150"/>
      <c r="M65" s="150"/>
      <c r="N65" s="150"/>
      <c r="O65" s="150"/>
      <c r="P65" s="150"/>
      <c r="Q65" s="150"/>
      <c r="R65" s="150"/>
      <c r="S65" s="150"/>
      <c r="T65" s="152"/>
      <c r="U65" s="153"/>
      <c r="V65" s="17"/>
      <c r="W65" s="17"/>
      <c r="X65" s="17"/>
      <c r="Y65" s="17"/>
      <c r="Z65" s="17"/>
      <c r="AA65" s="17"/>
      <c r="AB65" s="17"/>
      <c r="AC65" s="17"/>
      <c r="AD65" s="17"/>
      <c r="AE65" s="17"/>
      <c r="AF65" s="17"/>
    </row>
    <row r="66" ht="15.75" customHeight="1">
      <c r="A66" s="17"/>
      <c r="B66" s="112">
        <v>1.0</v>
      </c>
      <c r="C66" s="157" t="str">
        <f>IF('INPUT DATA'!Q11="","",'INPUT DATA'!Q11)</f>
        <v/>
      </c>
      <c r="D66" s="158"/>
      <c r="E66" s="159"/>
      <c r="F66" s="162" t="str">
        <f>IF('INPUT DATA'!T11="","",'INPUT DATA'!T11)</f>
        <v/>
      </c>
      <c r="G66" s="163"/>
      <c r="H66" s="165" t="str">
        <f>IF('INPUT DATA'!S11="","",'INPUT DATA'!S11)</f>
        <v/>
      </c>
      <c r="I66" s="127" t="str">
        <f t="shared" ref="I66:I115" si="4">IF(H66="","",DATEDIF(H66,TODAY(),"Y"))</f>
        <v/>
      </c>
      <c r="J66" s="120" t="s">
        <v>58</v>
      </c>
      <c r="K66" s="121"/>
      <c r="L66" s="119"/>
      <c r="M66" s="119"/>
      <c r="N66" s="119"/>
      <c r="O66" s="119"/>
      <c r="P66" s="166"/>
      <c r="Q66" s="166"/>
      <c r="R66" s="166"/>
      <c r="S66" s="166"/>
      <c r="T66" s="122" t="str">
        <f t="shared" ref="T66:T115" si="5">IF(COUNT(K66:S66)=0,"",ROUND((K66+L66+M66+N66+O66+S66)/6,0))</f>
        <v/>
      </c>
      <c r="U66" s="123" t="str">
        <f t="shared" ref="U66:U115" si="6">IF(T66="","",_xlfn.RANK.AVG(T66,$T$15:$T$115))</f>
        <v/>
      </c>
      <c r="V66" s="17"/>
      <c r="W66" s="17"/>
      <c r="X66" s="17"/>
      <c r="Y66" s="17"/>
      <c r="Z66" s="17"/>
      <c r="AA66" s="17"/>
      <c r="AB66" s="17"/>
      <c r="AC66" s="17"/>
      <c r="AD66" s="17"/>
      <c r="AE66" s="17"/>
      <c r="AF66" s="17"/>
    </row>
    <row r="67" ht="15.75" customHeight="1">
      <c r="A67" s="17"/>
      <c r="B67" s="125">
        <v>2.0</v>
      </c>
      <c r="C67" s="170" t="str">
        <f>IF('INPUT DATA'!Q12="","",'INPUT DATA'!Q12)</f>
        <v/>
      </c>
      <c r="D67" s="172"/>
      <c r="E67" s="163"/>
      <c r="F67" s="162" t="str">
        <f>IF('INPUT DATA'!T12="","",'INPUT DATA'!T12)</f>
        <v/>
      </c>
      <c r="G67" s="163"/>
      <c r="H67" s="173" t="str">
        <f>IF('INPUT DATA'!S12="","",'INPUT DATA'!S12)</f>
        <v/>
      </c>
      <c r="I67" s="132" t="str">
        <f t="shared" si="4"/>
        <v/>
      </c>
      <c r="J67" s="132" t="s">
        <v>58</v>
      </c>
      <c r="K67" s="131"/>
      <c r="L67" s="130"/>
      <c r="M67" s="130"/>
      <c r="N67" s="130"/>
      <c r="O67" s="130"/>
      <c r="P67" s="174"/>
      <c r="Q67" s="174"/>
      <c r="R67" s="174"/>
      <c r="S67" s="174"/>
      <c r="T67" s="122" t="str">
        <f t="shared" si="5"/>
        <v/>
      </c>
      <c r="U67" s="123" t="str">
        <f t="shared" si="6"/>
        <v/>
      </c>
      <c r="V67" s="17"/>
      <c r="W67" s="17"/>
      <c r="X67" s="17"/>
      <c r="Y67" s="17"/>
      <c r="Z67" s="17"/>
      <c r="AA67" s="17"/>
      <c r="AB67" s="17"/>
      <c r="AC67" s="17"/>
      <c r="AD67" s="17"/>
      <c r="AE67" s="17"/>
      <c r="AF67" s="17"/>
    </row>
    <row r="68" ht="15.75" customHeight="1">
      <c r="A68" s="17"/>
      <c r="B68" s="125">
        <v>3.0</v>
      </c>
      <c r="C68" s="170" t="str">
        <f>IF('INPUT DATA'!Q13="","",'INPUT DATA'!Q13)</f>
        <v/>
      </c>
      <c r="D68" s="172"/>
      <c r="E68" s="163"/>
      <c r="F68" s="162" t="str">
        <f>IF('INPUT DATA'!T13="","",'INPUT DATA'!T13)</f>
        <v/>
      </c>
      <c r="G68" s="163"/>
      <c r="H68" s="173" t="str">
        <f>IF('INPUT DATA'!S13="","",'INPUT DATA'!S13)</f>
        <v/>
      </c>
      <c r="I68" s="132" t="str">
        <f t="shared" si="4"/>
        <v/>
      </c>
      <c r="J68" s="132" t="s">
        <v>58</v>
      </c>
      <c r="K68" s="131"/>
      <c r="L68" s="130"/>
      <c r="M68" s="130"/>
      <c r="N68" s="130"/>
      <c r="O68" s="130"/>
      <c r="P68" s="174"/>
      <c r="Q68" s="174"/>
      <c r="R68" s="174"/>
      <c r="S68" s="174"/>
      <c r="T68" s="122" t="str">
        <f t="shared" si="5"/>
        <v/>
      </c>
      <c r="U68" s="123" t="str">
        <f t="shared" si="6"/>
        <v/>
      </c>
      <c r="V68" s="17"/>
      <c r="W68" s="17"/>
      <c r="X68" s="17"/>
      <c r="Y68" s="17"/>
      <c r="Z68" s="17"/>
      <c r="AA68" s="17"/>
      <c r="AB68" s="17"/>
      <c r="AC68" s="17"/>
      <c r="AD68" s="17"/>
      <c r="AE68" s="17"/>
      <c r="AF68" s="17"/>
    </row>
    <row r="69" ht="15.75" customHeight="1">
      <c r="A69" s="17"/>
      <c r="B69" s="125">
        <v>4.0</v>
      </c>
      <c r="C69" s="170" t="str">
        <f>IF('INPUT DATA'!Q14="","",'INPUT DATA'!Q14)</f>
        <v/>
      </c>
      <c r="D69" s="172"/>
      <c r="E69" s="163"/>
      <c r="F69" s="162" t="str">
        <f>IF('INPUT DATA'!T14="","",'INPUT DATA'!T14)</f>
        <v/>
      </c>
      <c r="G69" s="163"/>
      <c r="H69" s="173" t="str">
        <f>IF('INPUT DATA'!S14="","",'INPUT DATA'!S14)</f>
        <v/>
      </c>
      <c r="I69" s="132" t="str">
        <f t="shared" si="4"/>
        <v/>
      </c>
      <c r="J69" s="132"/>
      <c r="K69" s="131"/>
      <c r="L69" s="130"/>
      <c r="M69" s="130"/>
      <c r="N69" s="130"/>
      <c r="O69" s="130"/>
      <c r="P69" s="174"/>
      <c r="Q69" s="174"/>
      <c r="R69" s="174"/>
      <c r="S69" s="174"/>
      <c r="T69" s="122" t="str">
        <f t="shared" si="5"/>
        <v/>
      </c>
      <c r="U69" s="123" t="str">
        <f t="shared" si="6"/>
        <v/>
      </c>
      <c r="V69" s="17"/>
      <c r="W69" s="17"/>
      <c r="X69" s="17"/>
      <c r="Y69" s="17"/>
      <c r="Z69" s="17"/>
      <c r="AA69" s="17"/>
      <c r="AB69" s="17"/>
      <c r="AC69" s="17"/>
      <c r="AD69" s="17"/>
      <c r="AE69" s="17"/>
      <c r="AF69" s="17"/>
    </row>
    <row r="70" ht="15.75" customHeight="1">
      <c r="A70" s="17"/>
      <c r="B70" s="125">
        <v>5.0</v>
      </c>
      <c r="C70" s="170" t="str">
        <f>IF('INPUT DATA'!Q15="","",'INPUT DATA'!Q15)</f>
        <v/>
      </c>
      <c r="D70" s="172"/>
      <c r="E70" s="163"/>
      <c r="F70" s="162" t="str">
        <f>IF('INPUT DATA'!T15="","",'INPUT DATA'!T15)</f>
        <v/>
      </c>
      <c r="G70" s="163"/>
      <c r="H70" s="173" t="str">
        <f>IF('INPUT DATA'!S15="","",'INPUT DATA'!S15)</f>
        <v/>
      </c>
      <c r="I70" s="132" t="str">
        <f t="shared" si="4"/>
        <v/>
      </c>
      <c r="J70" s="132"/>
      <c r="K70" s="131"/>
      <c r="L70" s="130"/>
      <c r="M70" s="130"/>
      <c r="N70" s="130"/>
      <c r="O70" s="130"/>
      <c r="P70" s="174"/>
      <c r="Q70" s="174"/>
      <c r="R70" s="174"/>
      <c r="S70" s="174"/>
      <c r="T70" s="122" t="str">
        <f t="shared" si="5"/>
        <v/>
      </c>
      <c r="U70" s="123" t="str">
        <f t="shared" si="6"/>
        <v/>
      </c>
      <c r="V70" s="17"/>
      <c r="W70" s="17"/>
      <c r="X70" s="17"/>
      <c r="Y70" s="17"/>
      <c r="Z70" s="17"/>
      <c r="AA70" s="17"/>
      <c r="AB70" s="17"/>
      <c r="AC70" s="17"/>
      <c r="AD70" s="17"/>
      <c r="AE70" s="17"/>
      <c r="AF70" s="17"/>
    </row>
    <row r="71" ht="15.75" customHeight="1">
      <c r="A71" s="17"/>
      <c r="B71" s="125">
        <v>6.0</v>
      </c>
      <c r="C71" s="170" t="str">
        <f>IF('INPUT DATA'!Q16="","",'INPUT DATA'!Q16)</f>
        <v/>
      </c>
      <c r="D71" s="172"/>
      <c r="E71" s="163"/>
      <c r="F71" s="162" t="str">
        <f>IF('INPUT DATA'!T16="","",'INPUT DATA'!T16)</f>
        <v/>
      </c>
      <c r="G71" s="163"/>
      <c r="H71" s="173" t="str">
        <f>IF('INPUT DATA'!S16="","",'INPUT DATA'!S16)</f>
        <v/>
      </c>
      <c r="I71" s="132" t="str">
        <f t="shared" si="4"/>
        <v/>
      </c>
      <c r="J71" s="132"/>
      <c r="K71" s="131"/>
      <c r="L71" s="130"/>
      <c r="M71" s="130"/>
      <c r="N71" s="130"/>
      <c r="O71" s="130"/>
      <c r="P71" s="174"/>
      <c r="Q71" s="174"/>
      <c r="R71" s="174"/>
      <c r="S71" s="174"/>
      <c r="T71" s="122" t="str">
        <f t="shared" si="5"/>
        <v/>
      </c>
      <c r="U71" s="123" t="str">
        <f t="shared" si="6"/>
        <v/>
      </c>
      <c r="V71" s="17"/>
      <c r="W71" s="17"/>
      <c r="X71" s="17"/>
      <c r="Y71" s="17"/>
      <c r="Z71" s="17"/>
      <c r="AA71" s="17"/>
      <c r="AB71" s="17"/>
      <c r="AC71" s="17"/>
      <c r="AD71" s="17"/>
      <c r="AE71" s="17"/>
      <c r="AF71" s="17"/>
    </row>
    <row r="72" ht="15.75" customHeight="1">
      <c r="A72" s="17"/>
      <c r="B72" s="125">
        <v>7.0</v>
      </c>
      <c r="C72" s="170" t="str">
        <f>IF('INPUT DATA'!Q17="","",'INPUT DATA'!Q17)</f>
        <v/>
      </c>
      <c r="D72" s="172"/>
      <c r="E72" s="163"/>
      <c r="F72" s="162" t="str">
        <f>IF('INPUT DATA'!T17="","",'INPUT DATA'!T17)</f>
        <v/>
      </c>
      <c r="G72" s="163"/>
      <c r="H72" s="173" t="str">
        <f>IF('INPUT DATA'!S17="","",'INPUT DATA'!S17)</f>
        <v/>
      </c>
      <c r="I72" s="132" t="str">
        <f t="shared" si="4"/>
        <v/>
      </c>
      <c r="J72" s="132"/>
      <c r="K72" s="131"/>
      <c r="L72" s="130"/>
      <c r="M72" s="130"/>
      <c r="N72" s="130"/>
      <c r="O72" s="130"/>
      <c r="P72" s="174"/>
      <c r="Q72" s="174"/>
      <c r="R72" s="174"/>
      <c r="S72" s="174"/>
      <c r="T72" s="122" t="str">
        <f t="shared" si="5"/>
        <v/>
      </c>
      <c r="U72" s="123" t="str">
        <f t="shared" si="6"/>
        <v/>
      </c>
      <c r="V72" s="17"/>
      <c r="W72" s="17"/>
      <c r="X72" s="17"/>
      <c r="Y72" s="17"/>
      <c r="Z72" s="17"/>
      <c r="AA72" s="17"/>
      <c r="AB72" s="17"/>
      <c r="AC72" s="17"/>
      <c r="AD72" s="17"/>
      <c r="AE72" s="17"/>
      <c r="AF72" s="17"/>
    </row>
    <row r="73" ht="15.75" customHeight="1">
      <c r="A73" s="17"/>
      <c r="B73" s="125">
        <v>8.0</v>
      </c>
      <c r="C73" s="170" t="str">
        <f>IF('INPUT DATA'!Q18="","",'INPUT DATA'!Q18)</f>
        <v/>
      </c>
      <c r="D73" s="172"/>
      <c r="E73" s="163"/>
      <c r="F73" s="162" t="str">
        <f>IF('INPUT DATA'!T18="","",'INPUT DATA'!T18)</f>
        <v/>
      </c>
      <c r="G73" s="163"/>
      <c r="H73" s="173" t="str">
        <f>IF('INPUT DATA'!S18="","",'INPUT DATA'!S18)</f>
        <v/>
      </c>
      <c r="I73" s="132" t="str">
        <f t="shared" si="4"/>
        <v/>
      </c>
      <c r="J73" s="132"/>
      <c r="K73" s="131"/>
      <c r="L73" s="130"/>
      <c r="M73" s="130"/>
      <c r="N73" s="130"/>
      <c r="O73" s="130"/>
      <c r="P73" s="174"/>
      <c r="Q73" s="174"/>
      <c r="R73" s="174"/>
      <c r="S73" s="174"/>
      <c r="T73" s="122" t="str">
        <f t="shared" si="5"/>
        <v/>
      </c>
      <c r="U73" s="123" t="str">
        <f t="shared" si="6"/>
        <v/>
      </c>
      <c r="V73" s="17"/>
      <c r="W73" s="17"/>
      <c r="X73" s="17"/>
      <c r="Y73" s="17"/>
      <c r="Z73" s="17"/>
      <c r="AA73" s="17"/>
      <c r="AB73" s="17"/>
      <c r="AC73" s="17"/>
      <c r="AD73" s="17"/>
      <c r="AE73" s="17"/>
      <c r="AF73" s="17"/>
    </row>
    <row r="74" ht="15.75" customHeight="1">
      <c r="A74" s="17"/>
      <c r="B74" s="125">
        <v>9.0</v>
      </c>
      <c r="C74" s="170" t="str">
        <f>IF('INPUT DATA'!Q19="","",'INPUT DATA'!Q19)</f>
        <v/>
      </c>
      <c r="D74" s="172"/>
      <c r="E74" s="163"/>
      <c r="F74" s="162" t="str">
        <f>IF('INPUT DATA'!T19="","",'INPUT DATA'!T19)</f>
        <v/>
      </c>
      <c r="G74" s="163"/>
      <c r="H74" s="173" t="str">
        <f>IF('INPUT DATA'!S19="","",'INPUT DATA'!S19)</f>
        <v/>
      </c>
      <c r="I74" s="132" t="str">
        <f t="shared" si="4"/>
        <v/>
      </c>
      <c r="J74" s="132"/>
      <c r="K74" s="131"/>
      <c r="L74" s="130"/>
      <c r="M74" s="130"/>
      <c r="N74" s="130"/>
      <c r="O74" s="130"/>
      <c r="P74" s="174"/>
      <c r="Q74" s="174"/>
      <c r="R74" s="174"/>
      <c r="S74" s="174"/>
      <c r="T74" s="122" t="str">
        <f t="shared" si="5"/>
        <v/>
      </c>
      <c r="U74" s="123" t="str">
        <f t="shared" si="6"/>
        <v/>
      </c>
      <c r="V74" s="17"/>
      <c r="W74" s="17"/>
      <c r="X74" s="17"/>
      <c r="Y74" s="17"/>
      <c r="Z74" s="17"/>
      <c r="AA74" s="17"/>
      <c r="AB74" s="17"/>
      <c r="AC74" s="17"/>
      <c r="AD74" s="17"/>
      <c r="AE74" s="17"/>
      <c r="AF74" s="17"/>
    </row>
    <row r="75" ht="15.75" customHeight="1">
      <c r="A75" s="17"/>
      <c r="B75" s="125">
        <v>10.0</v>
      </c>
      <c r="C75" s="170" t="str">
        <f>IF('INPUT DATA'!Q20="","",'INPUT DATA'!Q20)</f>
        <v/>
      </c>
      <c r="D75" s="172"/>
      <c r="E75" s="163"/>
      <c r="F75" s="162" t="str">
        <f>IF('INPUT DATA'!T20="","",'INPUT DATA'!T20)</f>
        <v/>
      </c>
      <c r="G75" s="163"/>
      <c r="H75" s="173" t="str">
        <f>IF('INPUT DATA'!S20="","",'INPUT DATA'!S20)</f>
        <v/>
      </c>
      <c r="I75" s="132" t="str">
        <f t="shared" si="4"/>
        <v/>
      </c>
      <c r="J75" s="132"/>
      <c r="K75" s="131"/>
      <c r="L75" s="130"/>
      <c r="M75" s="130"/>
      <c r="N75" s="130"/>
      <c r="O75" s="130"/>
      <c r="P75" s="174"/>
      <c r="Q75" s="174"/>
      <c r="R75" s="174"/>
      <c r="S75" s="174"/>
      <c r="T75" s="122" t="str">
        <f t="shared" si="5"/>
        <v/>
      </c>
      <c r="U75" s="123" t="str">
        <f t="shared" si="6"/>
        <v/>
      </c>
      <c r="V75" s="17"/>
      <c r="W75" s="17"/>
      <c r="X75" s="17"/>
      <c r="Y75" s="17"/>
      <c r="Z75" s="17"/>
      <c r="AA75" s="17"/>
      <c r="AB75" s="17"/>
      <c r="AC75" s="17"/>
      <c r="AD75" s="17"/>
      <c r="AE75" s="17"/>
      <c r="AF75" s="17"/>
    </row>
    <row r="76" ht="15.75" customHeight="1">
      <c r="A76" s="17"/>
      <c r="B76" s="125">
        <v>11.0</v>
      </c>
      <c r="C76" s="170" t="str">
        <f>IF('INPUT DATA'!Q21="","",'INPUT DATA'!Q21)</f>
        <v/>
      </c>
      <c r="D76" s="172"/>
      <c r="E76" s="163"/>
      <c r="F76" s="162" t="str">
        <f>IF('INPUT DATA'!T21="","",'INPUT DATA'!T21)</f>
        <v/>
      </c>
      <c r="G76" s="163"/>
      <c r="H76" s="173" t="str">
        <f>IF('INPUT DATA'!S21="","",'INPUT DATA'!S21)</f>
        <v/>
      </c>
      <c r="I76" s="132" t="str">
        <f t="shared" si="4"/>
        <v/>
      </c>
      <c r="J76" s="132"/>
      <c r="K76" s="131"/>
      <c r="L76" s="130"/>
      <c r="M76" s="130"/>
      <c r="N76" s="130"/>
      <c r="O76" s="130"/>
      <c r="P76" s="174"/>
      <c r="Q76" s="174"/>
      <c r="R76" s="174"/>
      <c r="S76" s="174"/>
      <c r="T76" s="122" t="str">
        <f t="shared" si="5"/>
        <v/>
      </c>
      <c r="U76" s="123" t="str">
        <f t="shared" si="6"/>
        <v/>
      </c>
      <c r="V76" s="17"/>
      <c r="W76" s="17"/>
      <c r="X76" s="17"/>
      <c r="Y76" s="17"/>
      <c r="Z76" s="17"/>
      <c r="AA76" s="17"/>
      <c r="AB76" s="17"/>
      <c r="AC76" s="17"/>
      <c r="AD76" s="17"/>
      <c r="AE76" s="17"/>
      <c r="AF76" s="17"/>
    </row>
    <row r="77" ht="15.75" customHeight="1">
      <c r="A77" s="17"/>
      <c r="B77" s="125">
        <v>12.0</v>
      </c>
      <c r="C77" s="170" t="str">
        <f>IF('INPUT DATA'!Q22="","",'INPUT DATA'!Q22)</f>
        <v/>
      </c>
      <c r="D77" s="172"/>
      <c r="E77" s="163"/>
      <c r="F77" s="162" t="str">
        <f>IF('INPUT DATA'!T22="","",'INPUT DATA'!T22)</f>
        <v/>
      </c>
      <c r="G77" s="163"/>
      <c r="H77" s="173" t="str">
        <f>IF('INPUT DATA'!S22="","",'INPUT DATA'!S22)</f>
        <v/>
      </c>
      <c r="I77" s="132" t="str">
        <f t="shared" si="4"/>
        <v/>
      </c>
      <c r="J77" s="132"/>
      <c r="K77" s="131"/>
      <c r="L77" s="130"/>
      <c r="M77" s="130"/>
      <c r="N77" s="130"/>
      <c r="O77" s="130"/>
      <c r="P77" s="174"/>
      <c r="Q77" s="174"/>
      <c r="R77" s="174"/>
      <c r="S77" s="174"/>
      <c r="T77" s="122" t="str">
        <f t="shared" si="5"/>
        <v/>
      </c>
      <c r="U77" s="123" t="str">
        <f t="shared" si="6"/>
        <v/>
      </c>
      <c r="V77" s="17"/>
      <c r="W77" s="17"/>
      <c r="X77" s="17"/>
      <c r="Y77" s="17"/>
      <c r="Z77" s="17"/>
      <c r="AA77" s="17"/>
      <c r="AB77" s="17"/>
      <c r="AC77" s="17"/>
      <c r="AD77" s="17"/>
      <c r="AE77" s="17"/>
      <c r="AF77" s="17"/>
    </row>
    <row r="78" ht="15.75" customHeight="1">
      <c r="A78" s="17"/>
      <c r="B78" s="125">
        <v>13.0</v>
      </c>
      <c r="C78" s="170" t="str">
        <f>IF('INPUT DATA'!Q23="","",'INPUT DATA'!Q23)</f>
        <v/>
      </c>
      <c r="D78" s="172"/>
      <c r="E78" s="163"/>
      <c r="F78" s="162" t="str">
        <f>IF('INPUT DATA'!T23="","",'INPUT DATA'!T23)</f>
        <v/>
      </c>
      <c r="G78" s="163"/>
      <c r="H78" s="173" t="str">
        <f>IF('INPUT DATA'!S23="","",'INPUT DATA'!S23)</f>
        <v/>
      </c>
      <c r="I78" s="132" t="str">
        <f t="shared" si="4"/>
        <v/>
      </c>
      <c r="J78" s="132"/>
      <c r="K78" s="131"/>
      <c r="L78" s="130"/>
      <c r="M78" s="130"/>
      <c r="N78" s="130"/>
      <c r="O78" s="130"/>
      <c r="P78" s="174"/>
      <c r="Q78" s="174"/>
      <c r="R78" s="174"/>
      <c r="S78" s="174"/>
      <c r="T78" s="122" t="str">
        <f t="shared" si="5"/>
        <v/>
      </c>
      <c r="U78" s="123" t="str">
        <f t="shared" si="6"/>
        <v/>
      </c>
      <c r="V78" s="17"/>
      <c r="W78" s="17"/>
      <c r="X78" s="17"/>
      <c r="Y78" s="17"/>
      <c r="Z78" s="17"/>
      <c r="AA78" s="17"/>
      <c r="AB78" s="17"/>
      <c r="AC78" s="17"/>
      <c r="AD78" s="17"/>
      <c r="AE78" s="17"/>
      <c r="AF78" s="17"/>
    </row>
    <row r="79" ht="15.75" customHeight="1">
      <c r="A79" s="17"/>
      <c r="B79" s="125">
        <v>14.0</v>
      </c>
      <c r="C79" s="170" t="str">
        <f>IF('INPUT DATA'!Q24="","",'INPUT DATA'!Q24)</f>
        <v/>
      </c>
      <c r="D79" s="172"/>
      <c r="E79" s="163"/>
      <c r="F79" s="162" t="str">
        <f>IF('INPUT DATA'!T24="","",'INPUT DATA'!T24)</f>
        <v/>
      </c>
      <c r="G79" s="163"/>
      <c r="H79" s="173" t="str">
        <f>IF('INPUT DATA'!S24="","",'INPUT DATA'!S24)</f>
        <v/>
      </c>
      <c r="I79" s="132" t="str">
        <f t="shared" si="4"/>
        <v/>
      </c>
      <c r="J79" s="132"/>
      <c r="K79" s="131"/>
      <c r="L79" s="130"/>
      <c r="M79" s="130"/>
      <c r="N79" s="130"/>
      <c r="O79" s="130"/>
      <c r="P79" s="174"/>
      <c r="Q79" s="174"/>
      <c r="R79" s="174"/>
      <c r="S79" s="174"/>
      <c r="T79" s="122" t="str">
        <f t="shared" si="5"/>
        <v/>
      </c>
      <c r="U79" s="123" t="str">
        <f t="shared" si="6"/>
        <v/>
      </c>
      <c r="V79" s="17"/>
      <c r="W79" s="17"/>
      <c r="X79" s="17"/>
      <c r="Y79" s="17"/>
      <c r="Z79" s="17"/>
      <c r="AA79" s="17"/>
      <c r="AB79" s="17"/>
      <c r="AC79" s="17"/>
      <c r="AD79" s="17"/>
      <c r="AE79" s="17"/>
      <c r="AF79" s="17"/>
    </row>
    <row r="80" ht="15.75" customHeight="1">
      <c r="A80" s="17"/>
      <c r="B80" s="125">
        <v>15.0</v>
      </c>
      <c r="C80" s="170" t="str">
        <f>IF('INPUT DATA'!Q25="","",'INPUT DATA'!Q25)</f>
        <v/>
      </c>
      <c r="D80" s="172"/>
      <c r="E80" s="163"/>
      <c r="F80" s="162" t="str">
        <f>IF('INPUT DATA'!T25="","",'INPUT DATA'!T25)</f>
        <v/>
      </c>
      <c r="G80" s="163"/>
      <c r="H80" s="173" t="str">
        <f>IF('INPUT DATA'!S25="","",'INPUT DATA'!S25)</f>
        <v/>
      </c>
      <c r="I80" s="132" t="str">
        <f t="shared" si="4"/>
        <v/>
      </c>
      <c r="J80" s="132"/>
      <c r="K80" s="131"/>
      <c r="L80" s="130"/>
      <c r="M80" s="130"/>
      <c r="N80" s="130"/>
      <c r="O80" s="130"/>
      <c r="P80" s="174"/>
      <c r="Q80" s="174"/>
      <c r="R80" s="174"/>
      <c r="S80" s="174"/>
      <c r="T80" s="122" t="str">
        <f t="shared" si="5"/>
        <v/>
      </c>
      <c r="U80" s="123" t="str">
        <f t="shared" si="6"/>
        <v/>
      </c>
      <c r="V80" s="17"/>
      <c r="W80" s="17"/>
      <c r="X80" s="17"/>
      <c r="Y80" s="17"/>
      <c r="Z80" s="17"/>
      <c r="AA80" s="17"/>
      <c r="AB80" s="17"/>
      <c r="AC80" s="17"/>
      <c r="AD80" s="17"/>
      <c r="AE80" s="17"/>
      <c r="AF80" s="17"/>
    </row>
    <row r="81" ht="15.75" customHeight="1">
      <c r="A81" s="17"/>
      <c r="B81" s="125">
        <v>16.0</v>
      </c>
      <c r="C81" s="170" t="str">
        <f>IF('INPUT DATA'!Q26="","",'INPUT DATA'!Q26)</f>
        <v/>
      </c>
      <c r="D81" s="172"/>
      <c r="E81" s="163"/>
      <c r="F81" s="162" t="str">
        <f>IF('INPUT DATA'!T26="","",'INPUT DATA'!T26)</f>
        <v/>
      </c>
      <c r="G81" s="163"/>
      <c r="H81" s="173" t="str">
        <f>IF('INPUT DATA'!S26="","",'INPUT DATA'!S26)</f>
        <v/>
      </c>
      <c r="I81" s="132" t="str">
        <f t="shared" si="4"/>
        <v/>
      </c>
      <c r="J81" s="132"/>
      <c r="K81" s="131"/>
      <c r="L81" s="130"/>
      <c r="M81" s="130"/>
      <c r="N81" s="130"/>
      <c r="O81" s="130"/>
      <c r="P81" s="174"/>
      <c r="Q81" s="174"/>
      <c r="R81" s="174"/>
      <c r="S81" s="174"/>
      <c r="T81" s="122" t="str">
        <f t="shared" si="5"/>
        <v/>
      </c>
      <c r="U81" s="123" t="str">
        <f t="shared" si="6"/>
        <v/>
      </c>
      <c r="V81" s="17"/>
      <c r="W81" s="17"/>
      <c r="X81" s="17"/>
      <c r="Y81" s="17"/>
      <c r="Z81" s="17"/>
      <c r="AA81" s="17"/>
      <c r="AB81" s="17"/>
      <c r="AC81" s="17"/>
      <c r="AD81" s="17"/>
      <c r="AE81" s="17"/>
      <c r="AF81" s="17"/>
    </row>
    <row r="82" ht="15.75" customHeight="1">
      <c r="A82" s="17"/>
      <c r="B82" s="125">
        <v>17.0</v>
      </c>
      <c r="C82" s="170" t="str">
        <f>IF('INPUT DATA'!Q27="","",'INPUT DATA'!Q27)</f>
        <v/>
      </c>
      <c r="D82" s="172"/>
      <c r="E82" s="163"/>
      <c r="F82" s="162" t="str">
        <f>IF('INPUT DATA'!T27="","",'INPUT DATA'!T27)</f>
        <v/>
      </c>
      <c r="G82" s="163"/>
      <c r="H82" s="173" t="str">
        <f>IF('INPUT DATA'!S27="","",'INPUT DATA'!S27)</f>
        <v/>
      </c>
      <c r="I82" s="132" t="str">
        <f t="shared" si="4"/>
        <v/>
      </c>
      <c r="J82" s="132"/>
      <c r="K82" s="131"/>
      <c r="L82" s="130"/>
      <c r="M82" s="130"/>
      <c r="N82" s="130"/>
      <c r="O82" s="130"/>
      <c r="P82" s="174"/>
      <c r="Q82" s="174"/>
      <c r="R82" s="174"/>
      <c r="S82" s="174"/>
      <c r="T82" s="122" t="str">
        <f t="shared" si="5"/>
        <v/>
      </c>
      <c r="U82" s="123" t="str">
        <f t="shared" si="6"/>
        <v/>
      </c>
      <c r="V82" s="17"/>
      <c r="W82" s="17"/>
      <c r="X82" s="17"/>
      <c r="Y82" s="17"/>
      <c r="Z82" s="17"/>
      <c r="AA82" s="17"/>
      <c r="AB82" s="17"/>
      <c r="AC82" s="17"/>
      <c r="AD82" s="17"/>
      <c r="AE82" s="17"/>
      <c r="AF82" s="17"/>
    </row>
    <row r="83" ht="15.75" customHeight="1">
      <c r="A83" s="17"/>
      <c r="B83" s="125">
        <v>18.0</v>
      </c>
      <c r="C83" s="170" t="str">
        <f>IF('INPUT DATA'!Q28="","",'INPUT DATA'!Q28)</f>
        <v/>
      </c>
      <c r="D83" s="172"/>
      <c r="E83" s="163"/>
      <c r="F83" s="162" t="str">
        <f>IF('INPUT DATA'!T28="","",'INPUT DATA'!T28)</f>
        <v/>
      </c>
      <c r="G83" s="163"/>
      <c r="H83" s="173" t="str">
        <f>IF('INPUT DATA'!S28="","",'INPUT DATA'!S28)</f>
        <v/>
      </c>
      <c r="I83" s="132" t="str">
        <f t="shared" si="4"/>
        <v/>
      </c>
      <c r="J83" s="132"/>
      <c r="K83" s="131"/>
      <c r="L83" s="130"/>
      <c r="M83" s="130"/>
      <c r="N83" s="130"/>
      <c r="O83" s="130"/>
      <c r="P83" s="174"/>
      <c r="Q83" s="174"/>
      <c r="R83" s="174"/>
      <c r="S83" s="174"/>
      <c r="T83" s="122" t="str">
        <f t="shared" si="5"/>
        <v/>
      </c>
      <c r="U83" s="123" t="str">
        <f t="shared" si="6"/>
        <v/>
      </c>
      <c r="V83" s="17"/>
      <c r="W83" s="17"/>
      <c r="X83" s="17"/>
      <c r="Y83" s="17"/>
      <c r="Z83" s="17"/>
      <c r="AA83" s="17"/>
      <c r="AB83" s="17"/>
      <c r="AC83" s="17"/>
      <c r="AD83" s="17"/>
      <c r="AE83" s="17"/>
      <c r="AF83" s="17"/>
    </row>
    <row r="84" ht="15.75" customHeight="1">
      <c r="A84" s="17"/>
      <c r="B84" s="125">
        <v>19.0</v>
      </c>
      <c r="C84" s="170" t="str">
        <f>IF('INPUT DATA'!Q29="","",'INPUT DATA'!Q29)</f>
        <v/>
      </c>
      <c r="D84" s="172"/>
      <c r="E84" s="163"/>
      <c r="F84" s="162" t="str">
        <f>IF('INPUT DATA'!T29="","",'INPUT DATA'!T29)</f>
        <v/>
      </c>
      <c r="G84" s="163"/>
      <c r="H84" s="173" t="str">
        <f>IF('INPUT DATA'!S29="","",'INPUT DATA'!S29)</f>
        <v/>
      </c>
      <c r="I84" s="132" t="str">
        <f t="shared" si="4"/>
        <v/>
      </c>
      <c r="J84" s="132"/>
      <c r="K84" s="131"/>
      <c r="L84" s="130"/>
      <c r="M84" s="130"/>
      <c r="N84" s="130"/>
      <c r="O84" s="130"/>
      <c r="P84" s="174"/>
      <c r="Q84" s="174"/>
      <c r="R84" s="174"/>
      <c r="S84" s="174"/>
      <c r="T84" s="122" t="str">
        <f t="shared" si="5"/>
        <v/>
      </c>
      <c r="U84" s="123" t="str">
        <f t="shared" si="6"/>
        <v/>
      </c>
      <c r="V84" s="17"/>
      <c r="W84" s="17"/>
      <c r="X84" s="17"/>
      <c r="Y84" s="17"/>
      <c r="Z84" s="17"/>
      <c r="AA84" s="17"/>
      <c r="AB84" s="17"/>
      <c r="AC84" s="17"/>
      <c r="AD84" s="17"/>
      <c r="AE84" s="17"/>
      <c r="AF84" s="17"/>
    </row>
    <row r="85" ht="15.75" customHeight="1">
      <c r="A85" s="17"/>
      <c r="B85" s="135">
        <v>20.0</v>
      </c>
      <c r="C85" s="170" t="str">
        <f>IF('INPUT DATA'!Q30="","",'INPUT DATA'!Q30)</f>
        <v/>
      </c>
      <c r="D85" s="172"/>
      <c r="E85" s="163"/>
      <c r="F85" s="162" t="str">
        <f>IF('INPUT DATA'!T30="","",'INPUT DATA'!T30)</f>
        <v/>
      </c>
      <c r="G85" s="163"/>
      <c r="H85" s="173" t="str">
        <f>IF('INPUT DATA'!S30="","",'INPUT DATA'!S30)</f>
        <v/>
      </c>
      <c r="I85" s="132" t="str">
        <f t="shared" si="4"/>
        <v/>
      </c>
      <c r="J85" s="132"/>
      <c r="K85" s="136"/>
      <c r="L85" s="137"/>
      <c r="M85" s="137"/>
      <c r="N85" s="137"/>
      <c r="O85" s="137"/>
      <c r="P85" s="178"/>
      <c r="Q85" s="178"/>
      <c r="R85" s="178"/>
      <c r="S85" s="178"/>
      <c r="T85" s="122" t="str">
        <f t="shared" si="5"/>
        <v/>
      </c>
      <c r="U85" s="123" t="str">
        <f t="shared" si="6"/>
        <v/>
      </c>
      <c r="V85" s="17"/>
      <c r="W85" s="17"/>
      <c r="X85" s="17"/>
      <c r="Y85" s="17"/>
      <c r="Z85" s="17"/>
      <c r="AA85" s="17"/>
      <c r="AB85" s="17"/>
      <c r="AC85" s="17"/>
      <c r="AD85" s="17"/>
      <c r="AE85" s="17"/>
      <c r="AF85" s="17"/>
    </row>
    <row r="86" ht="15.75" customHeight="1">
      <c r="A86" s="17"/>
      <c r="B86" s="135">
        <v>21.0</v>
      </c>
      <c r="C86" s="170" t="str">
        <f>IF('INPUT DATA'!Q31="","",'INPUT DATA'!Q31)</f>
        <v/>
      </c>
      <c r="D86" s="172"/>
      <c r="E86" s="163"/>
      <c r="F86" s="162" t="str">
        <f>IF('INPUT DATA'!T31="","",'INPUT DATA'!T31)</f>
        <v/>
      </c>
      <c r="G86" s="163"/>
      <c r="H86" s="173" t="str">
        <f>IF('INPUT DATA'!S31="","",'INPUT DATA'!S31)</f>
        <v/>
      </c>
      <c r="I86" s="132" t="str">
        <f t="shared" si="4"/>
        <v/>
      </c>
      <c r="J86" s="132"/>
      <c r="K86" s="131"/>
      <c r="L86" s="130"/>
      <c r="M86" s="130"/>
      <c r="N86" s="130"/>
      <c r="O86" s="130"/>
      <c r="P86" s="174"/>
      <c r="Q86" s="174"/>
      <c r="R86" s="174"/>
      <c r="S86" s="174"/>
      <c r="T86" s="122" t="str">
        <f t="shared" si="5"/>
        <v/>
      </c>
      <c r="U86" s="123" t="str">
        <f t="shared" si="6"/>
        <v/>
      </c>
      <c r="V86" s="17"/>
      <c r="W86" s="17"/>
      <c r="X86" s="17"/>
      <c r="Y86" s="17"/>
      <c r="Z86" s="17"/>
      <c r="AA86" s="17"/>
      <c r="AB86" s="17"/>
      <c r="AC86" s="17"/>
      <c r="AD86" s="17"/>
      <c r="AE86" s="17"/>
      <c r="AF86" s="17"/>
    </row>
    <row r="87" ht="15.75" customHeight="1">
      <c r="A87" s="17"/>
      <c r="B87" s="135">
        <v>22.0</v>
      </c>
      <c r="C87" s="170" t="str">
        <f>IF('INPUT DATA'!Q32="","",'INPUT DATA'!Q32)</f>
        <v/>
      </c>
      <c r="D87" s="172"/>
      <c r="E87" s="163"/>
      <c r="F87" s="162" t="str">
        <f>IF('INPUT DATA'!T32="","",'INPUT DATA'!T32)</f>
        <v/>
      </c>
      <c r="G87" s="163"/>
      <c r="H87" s="173" t="str">
        <f>IF('INPUT DATA'!S32="","",'INPUT DATA'!S32)</f>
        <v/>
      </c>
      <c r="I87" s="132" t="str">
        <f t="shared" si="4"/>
        <v/>
      </c>
      <c r="J87" s="132"/>
      <c r="K87" s="131"/>
      <c r="L87" s="130"/>
      <c r="M87" s="130"/>
      <c r="N87" s="130"/>
      <c r="O87" s="130"/>
      <c r="P87" s="174"/>
      <c r="Q87" s="174"/>
      <c r="R87" s="174"/>
      <c r="S87" s="174"/>
      <c r="T87" s="122" t="str">
        <f t="shared" si="5"/>
        <v/>
      </c>
      <c r="U87" s="123" t="str">
        <f t="shared" si="6"/>
        <v/>
      </c>
      <c r="V87" s="17"/>
      <c r="W87" s="17"/>
      <c r="X87" s="17"/>
      <c r="Y87" s="17"/>
      <c r="Z87" s="17"/>
      <c r="AA87" s="17"/>
      <c r="AB87" s="17"/>
      <c r="AC87" s="17"/>
      <c r="AD87" s="17"/>
      <c r="AE87" s="17"/>
      <c r="AF87" s="17"/>
    </row>
    <row r="88" ht="15.75" customHeight="1">
      <c r="A88" s="17"/>
      <c r="B88" s="135">
        <v>23.0</v>
      </c>
      <c r="C88" s="170" t="str">
        <f>IF('INPUT DATA'!Q33="","",'INPUT DATA'!Q33)</f>
        <v/>
      </c>
      <c r="D88" s="172"/>
      <c r="E88" s="163"/>
      <c r="F88" s="162" t="str">
        <f>IF('INPUT DATA'!T33="","",'INPUT DATA'!T33)</f>
        <v/>
      </c>
      <c r="G88" s="163"/>
      <c r="H88" s="173" t="str">
        <f>IF('INPUT DATA'!S33="","",'INPUT DATA'!S33)</f>
        <v/>
      </c>
      <c r="I88" s="132" t="str">
        <f t="shared" si="4"/>
        <v/>
      </c>
      <c r="J88" s="132"/>
      <c r="K88" s="131"/>
      <c r="L88" s="130"/>
      <c r="M88" s="130"/>
      <c r="N88" s="130"/>
      <c r="O88" s="130"/>
      <c r="P88" s="174"/>
      <c r="Q88" s="174"/>
      <c r="R88" s="174"/>
      <c r="S88" s="174"/>
      <c r="T88" s="122" t="str">
        <f t="shared" si="5"/>
        <v/>
      </c>
      <c r="U88" s="123" t="str">
        <f t="shared" si="6"/>
        <v/>
      </c>
      <c r="V88" s="17"/>
      <c r="W88" s="17"/>
      <c r="X88" s="17"/>
      <c r="Y88" s="17"/>
      <c r="Z88" s="17"/>
      <c r="AA88" s="17"/>
      <c r="AB88" s="17"/>
      <c r="AC88" s="17"/>
      <c r="AD88" s="17"/>
      <c r="AE88" s="17"/>
      <c r="AF88" s="17"/>
    </row>
    <row r="89" ht="15.75" customHeight="1">
      <c r="A89" s="17"/>
      <c r="B89" s="135">
        <v>24.0</v>
      </c>
      <c r="C89" s="170" t="str">
        <f>IF('INPUT DATA'!Q34="","",'INPUT DATA'!Q34)</f>
        <v/>
      </c>
      <c r="D89" s="172"/>
      <c r="E89" s="163"/>
      <c r="F89" s="162" t="str">
        <f>IF('INPUT DATA'!T34="","",'INPUT DATA'!T34)</f>
        <v/>
      </c>
      <c r="G89" s="163"/>
      <c r="H89" s="173" t="str">
        <f>IF('INPUT DATA'!S34="","",'INPUT DATA'!S34)</f>
        <v/>
      </c>
      <c r="I89" s="132" t="str">
        <f t="shared" si="4"/>
        <v/>
      </c>
      <c r="J89" s="132"/>
      <c r="K89" s="131"/>
      <c r="L89" s="130"/>
      <c r="M89" s="130"/>
      <c r="N89" s="130"/>
      <c r="O89" s="130"/>
      <c r="P89" s="174"/>
      <c r="Q89" s="174"/>
      <c r="R89" s="174"/>
      <c r="S89" s="174"/>
      <c r="T89" s="122" t="str">
        <f t="shared" si="5"/>
        <v/>
      </c>
      <c r="U89" s="123" t="str">
        <f t="shared" si="6"/>
        <v/>
      </c>
      <c r="V89" s="17"/>
      <c r="W89" s="17"/>
      <c r="X89" s="17"/>
      <c r="Y89" s="17"/>
      <c r="Z89" s="17"/>
      <c r="AA89" s="17"/>
      <c r="AB89" s="17"/>
      <c r="AC89" s="17"/>
      <c r="AD89" s="17"/>
      <c r="AE89" s="17"/>
      <c r="AF89" s="17"/>
    </row>
    <row r="90" ht="15.75" customHeight="1">
      <c r="A90" s="17"/>
      <c r="B90" s="135">
        <v>25.0</v>
      </c>
      <c r="C90" s="170" t="str">
        <f>IF('INPUT DATA'!Q35="","",'INPUT DATA'!Q35)</f>
        <v/>
      </c>
      <c r="D90" s="172"/>
      <c r="E90" s="163"/>
      <c r="F90" s="162" t="str">
        <f>IF('INPUT DATA'!T35="","",'INPUT DATA'!T35)</f>
        <v/>
      </c>
      <c r="G90" s="163"/>
      <c r="H90" s="173" t="str">
        <f>IF('INPUT DATA'!S35="","",'INPUT DATA'!S35)</f>
        <v/>
      </c>
      <c r="I90" s="132" t="str">
        <f t="shared" si="4"/>
        <v/>
      </c>
      <c r="J90" s="132"/>
      <c r="K90" s="131"/>
      <c r="L90" s="130"/>
      <c r="M90" s="130"/>
      <c r="N90" s="130"/>
      <c r="O90" s="130"/>
      <c r="P90" s="174"/>
      <c r="Q90" s="174"/>
      <c r="R90" s="174"/>
      <c r="S90" s="174"/>
      <c r="T90" s="122" t="str">
        <f t="shared" si="5"/>
        <v/>
      </c>
      <c r="U90" s="123" t="str">
        <f t="shared" si="6"/>
        <v/>
      </c>
      <c r="V90" s="17"/>
      <c r="W90" s="17"/>
      <c r="X90" s="17"/>
      <c r="Y90" s="17"/>
      <c r="Z90" s="17"/>
      <c r="AA90" s="17"/>
      <c r="AB90" s="17"/>
      <c r="AC90" s="17"/>
      <c r="AD90" s="17"/>
      <c r="AE90" s="17"/>
      <c r="AF90" s="17"/>
    </row>
    <row r="91" ht="15.75" customHeight="1">
      <c r="A91" s="17"/>
      <c r="B91" s="135">
        <v>26.0</v>
      </c>
      <c r="C91" s="170" t="str">
        <f>IF('INPUT DATA'!Q36="","",'INPUT DATA'!Q36)</f>
        <v/>
      </c>
      <c r="D91" s="172"/>
      <c r="E91" s="163"/>
      <c r="F91" s="162" t="str">
        <f>IF('INPUT DATA'!T36="","",'INPUT DATA'!T36)</f>
        <v/>
      </c>
      <c r="G91" s="163"/>
      <c r="H91" s="173" t="str">
        <f>IF('INPUT DATA'!S36="","",'INPUT DATA'!S36)</f>
        <v/>
      </c>
      <c r="I91" s="132" t="str">
        <f t="shared" si="4"/>
        <v/>
      </c>
      <c r="J91" s="132"/>
      <c r="K91" s="131"/>
      <c r="L91" s="130"/>
      <c r="M91" s="130"/>
      <c r="N91" s="130"/>
      <c r="O91" s="130"/>
      <c r="P91" s="174"/>
      <c r="Q91" s="174"/>
      <c r="R91" s="174"/>
      <c r="S91" s="174"/>
      <c r="T91" s="122" t="str">
        <f t="shared" si="5"/>
        <v/>
      </c>
      <c r="U91" s="123" t="str">
        <f t="shared" si="6"/>
        <v/>
      </c>
      <c r="V91" s="17"/>
      <c r="W91" s="17"/>
      <c r="X91" s="17"/>
      <c r="Y91" s="17"/>
      <c r="Z91" s="17"/>
      <c r="AA91" s="17"/>
      <c r="AB91" s="17"/>
      <c r="AC91" s="17"/>
      <c r="AD91" s="17"/>
      <c r="AE91" s="17"/>
      <c r="AF91" s="17"/>
    </row>
    <row r="92" ht="15.75" customHeight="1">
      <c r="A92" s="17"/>
      <c r="B92" s="135">
        <v>27.0</v>
      </c>
      <c r="C92" s="170" t="str">
        <f>IF('INPUT DATA'!Q37="","",'INPUT DATA'!Q37)</f>
        <v/>
      </c>
      <c r="D92" s="172"/>
      <c r="E92" s="163"/>
      <c r="F92" s="162" t="str">
        <f>IF('INPUT DATA'!T37="","",'INPUT DATA'!T37)</f>
        <v/>
      </c>
      <c r="G92" s="163"/>
      <c r="H92" s="173" t="str">
        <f>IF('INPUT DATA'!S37="","",'INPUT DATA'!S37)</f>
        <v/>
      </c>
      <c r="I92" s="132" t="str">
        <f t="shared" si="4"/>
        <v/>
      </c>
      <c r="J92" s="132"/>
      <c r="K92" s="131"/>
      <c r="L92" s="130"/>
      <c r="M92" s="130"/>
      <c r="N92" s="130"/>
      <c r="O92" s="130"/>
      <c r="P92" s="174"/>
      <c r="Q92" s="174"/>
      <c r="R92" s="174"/>
      <c r="S92" s="174"/>
      <c r="T92" s="122" t="str">
        <f t="shared" si="5"/>
        <v/>
      </c>
      <c r="U92" s="123" t="str">
        <f t="shared" si="6"/>
        <v/>
      </c>
      <c r="V92" s="17"/>
      <c r="W92" s="17"/>
      <c r="X92" s="17"/>
      <c r="Y92" s="17"/>
      <c r="Z92" s="17"/>
      <c r="AA92" s="17"/>
      <c r="AB92" s="17"/>
      <c r="AC92" s="17"/>
      <c r="AD92" s="17"/>
      <c r="AE92" s="17"/>
      <c r="AF92" s="17"/>
    </row>
    <row r="93" ht="15.75" customHeight="1">
      <c r="A93" s="17"/>
      <c r="B93" s="135">
        <v>28.0</v>
      </c>
      <c r="C93" s="170" t="str">
        <f>IF('INPUT DATA'!Q38="","",'INPUT DATA'!Q38)</f>
        <v/>
      </c>
      <c r="D93" s="172"/>
      <c r="E93" s="163"/>
      <c r="F93" s="162" t="str">
        <f>IF('INPUT DATA'!T38="","",'INPUT DATA'!T38)</f>
        <v/>
      </c>
      <c r="G93" s="163"/>
      <c r="H93" s="173" t="str">
        <f>IF('INPUT DATA'!S38="","",'INPUT DATA'!S38)</f>
        <v/>
      </c>
      <c r="I93" s="132" t="str">
        <f t="shared" si="4"/>
        <v/>
      </c>
      <c r="J93" s="132"/>
      <c r="K93" s="131"/>
      <c r="L93" s="130"/>
      <c r="M93" s="130"/>
      <c r="N93" s="130"/>
      <c r="O93" s="130"/>
      <c r="P93" s="174"/>
      <c r="Q93" s="174"/>
      <c r="R93" s="174"/>
      <c r="S93" s="174"/>
      <c r="T93" s="122" t="str">
        <f t="shared" si="5"/>
        <v/>
      </c>
      <c r="U93" s="123" t="str">
        <f t="shared" si="6"/>
        <v/>
      </c>
      <c r="V93" s="17"/>
      <c r="W93" s="17"/>
      <c r="X93" s="17"/>
      <c r="Y93" s="17"/>
      <c r="Z93" s="17"/>
      <c r="AA93" s="17"/>
      <c r="AB93" s="17"/>
      <c r="AC93" s="17"/>
      <c r="AD93" s="17"/>
      <c r="AE93" s="17"/>
      <c r="AF93" s="17"/>
    </row>
    <row r="94" ht="15.75" customHeight="1">
      <c r="A94" s="17"/>
      <c r="B94" s="135">
        <v>29.0</v>
      </c>
      <c r="C94" s="170" t="str">
        <f>IF('INPUT DATA'!Q39="","",'INPUT DATA'!Q39)</f>
        <v/>
      </c>
      <c r="D94" s="172"/>
      <c r="E94" s="163"/>
      <c r="F94" s="162" t="str">
        <f>IF('INPUT DATA'!T39="","",'INPUT DATA'!T39)</f>
        <v/>
      </c>
      <c r="G94" s="163"/>
      <c r="H94" s="173" t="str">
        <f>IF('INPUT DATA'!S39="","",'INPUT DATA'!S39)</f>
        <v/>
      </c>
      <c r="I94" s="132" t="str">
        <f t="shared" si="4"/>
        <v/>
      </c>
      <c r="J94" s="132"/>
      <c r="K94" s="131"/>
      <c r="L94" s="130"/>
      <c r="M94" s="130"/>
      <c r="N94" s="130"/>
      <c r="O94" s="130"/>
      <c r="P94" s="174"/>
      <c r="Q94" s="174"/>
      <c r="R94" s="174"/>
      <c r="S94" s="174"/>
      <c r="T94" s="122" t="str">
        <f t="shared" si="5"/>
        <v/>
      </c>
      <c r="U94" s="123" t="str">
        <f t="shared" si="6"/>
        <v/>
      </c>
      <c r="V94" s="17"/>
      <c r="W94" s="17"/>
      <c r="X94" s="17"/>
      <c r="Y94" s="17"/>
      <c r="Z94" s="17"/>
      <c r="AA94" s="17"/>
      <c r="AB94" s="17"/>
      <c r="AC94" s="17"/>
      <c r="AD94" s="17"/>
      <c r="AE94" s="17"/>
      <c r="AF94" s="17"/>
    </row>
    <row r="95" ht="15.75" customHeight="1">
      <c r="A95" s="17"/>
      <c r="B95" s="135">
        <v>30.0</v>
      </c>
      <c r="C95" s="170" t="str">
        <f>IF('INPUT DATA'!Q40="","",'INPUT DATA'!Q40)</f>
        <v/>
      </c>
      <c r="D95" s="172"/>
      <c r="E95" s="163"/>
      <c r="F95" s="162" t="str">
        <f>IF('INPUT DATA'!T40="","",'INPUT DATA'!T40)</f>
        <v/>
      </c>
      <c r="G95" s="163"/>
      <c r="H95" s="173" t="str">
        <f>IF('INPUT DATA'!S40="","",'INPUT DATA'!S40)</f>
        <v/>
      </c>
      <c r="I95" s="132" t="str">
        <f t="shared" si="4"/>
        <v/>
      </c>
      <c r="J95" s="132"/>
      <c r="K95" s="131"/>
      <c r="L95" s="130"/>
      <c r="M95" s="130"/>
      <c r="N95" s="130"/>
      <c r="O95" s="130"/>
      <c r="P95" s="174"/>
      <c r="Q95" s="174"/>
      <c r="R95" s="174"/>
      <c r="S95" s="174"/>
      <c r="T95" s="122" t="str">
        <f t="shared" si="5"/>
        <v/>
      </c>
      <c r="U95" s="123" t="str">
        <f t="shared" si="6"/>
        <v/>
      </c>
      <c r="V95" s="17"/>
      <c r="W95" s="17"/>
      <c r="X95" s="17"/>
      <c r="Y95" s="17"/>
      <c r="Z95" s="17"/>
      <c r="AA95" s="17"/>
      <c r="AB95" s="17"/>
      <c r="AC95" s="17"/>
      <c r="AD95" s="17"/>
      <c r="AE95" s="17"/>
      <c r="AF95" s="17"/>
    </row>
    <row r="96" ht="15.75" customHeight="1">
      <c r="A96" s="17"/>
      <c r="B96" s="135">
        <v>31.0</v>
      </c>
      <c r="C96" s="170" t="str">
        <f>IF('INPUT DATA'!Q41="","",'INPUT DATA'!Q41)</f>
        <v/>
      </c>
      <c r="D96" s="172"/>
      <c r="E96" s="163"/>
      <c r="F96" s="162" t="str">
        <f>IF('INPUT DATA'!T41="","",'INPUT DATA'!T41)</f>
        <v/>
      </c>
      <c r="G96" s="163"/>
      <c r="H96" s="173" t="str">
        <f>IF('INPUT DATA'!S41="","",'INPUT DATA'!S41)</f>
        <v/>
      </c>
      <c r="I96" s="132" t="str">
        <f t="shared" si="4"/>
        <v/>
      </c>
      <c r="J96" s="132"/>
      <c r="K96" s="131"/>
      <c r="L96" s="130"/>
      <c r="M96" s="130"/>
      <c r="N96" s="130"/>
      <c r="O96" s="130"/>
      <c r="P96" s="174"/>
      <c r="Q96" s="174"/>
      <c r="R96" s="174"/>
      <c r="S96" s="174"/>
      <c r="T96" s="122" t="str">
        <f t="shared" si="5"/>
        <v/>
      </c>
      <c r="U96" s="123" t="str">
        <f t="shared" si="6"/>
        <v/>
      </c>
      <c r="V96" s="17"/>
      <c r="W96" s="17"/>
      <c r="X96" s="17"/>
      <c r="Y96" s="17"/>
      <c r="Z96" s="17"/>
      <c r="AA96" s="17"/>
      <c r="AB96" s="17"/>
      <c r="AC96" s="17"/>
      <c r="AD96" s="17"/>
      <c r="AE96" s="17"/>
      <c r="AF96" s="17"/>
    </row>
    <row r="97" ht="15.75" customHeight="1">
      <c r="A97" s="17"/>
      <c r="B97" s="135">
        <v>32.0</v>
      </c>
      <c r="C97" s="170" t="str">
        <f>IF('INPUT DATA'!Q42="","",'INPUT DATA'!Q42)</f>
        <v/>
      </c>
      <c r="D97" s="172"/>
      <c r="E97" s="163"/>
      <c r="F97" s="162" t="str">
        <f>IF('INPUT DATA'!T42="","",'INPUT DATA'!T42)</f>
        <v/>
      </c>
      <c r="G97" s="163"/>
      <c r="H97" s="173" t="str">
        <f>IF('INPUT DATA'!S42="","",'INPUT DATA'!S42)</f>
        <v/>
      </c>
      <c r="I97" s="132" t="str">
        <f t="shared" si="4"/>
        <v/>
      </c>
      <c r="J97" s="132"/>
      <c r="K97" s="131"/>
      <c r="L97" s="130"/>
      <c r="M97" s="130"/>
      <c r="N97" s="130"/>
      <c r="O97" s="130"/>
      <c r="P97" s="174"/>
      <c r="Q97" s="174"/>
      <c r="R97" s="174"/>
      <c r="S97" s="174"/>
      <c r="T97" s="122" t="str">
        <f t="shared" si="5"/>
        <v/>
      </c>
      <c r="U97" s="123" t="str">
        <f t="shared" si="6"/>
        <v/>
      </c>
      <c r="V97" s="17"/>
      <c r="W97" s="17"/>
      <c r="X97" s="17"/>
      <c r="Y97" s="17"/>
      <c r="Z97" s="17"/>
      <c r="AA97" s="17"/>
      <c r="AB97" s="17"/>
      <c r="AC97" s="17"/>
      <c r="AD97" s="17"/>
      <c r="AE97" s="17"/>
      <c r="AF97" s="17"/>
    </row>
    <row r="98" ht="15.75" customHeight="1">
      <c r="A98" s="17"/>
      <c r="B98" s="135">
        <v>33.0</v>
      </c>
      <c r="C98" s="170" t="str">
        <f>IF('INPUT DATA'!Q43="","",'INPUT DATA'!Q43)</f>
        <v/>
      </c>
      <c r="D98" s="172"/>
      <c r="E98" s="163"/>
      <c r="F98" s="162" t="str">
        <f>IF('INPUT DATA'!T43="","",'INPUT DATA'!T43)</f>
        <v/>
      </c>
      <c r="G98" s="163"/>
      <c r="H98" s="173" t="str">
        <f>IF('INPUT DATA'!S43="","",'INPUT DATA'!S43)</f>
        <v/>
      </c>
      <c r="I98" s="132" t="str">
        <f t="shared" si="4"/>
        <v/>
      </c>
      <c r="J98" s="132"/>
      <c r="K98" s="131"/>
      <c r="L98" s="130"/>
      <c r="M98" s="130"/>
      <c r="N98" s="130"/>
      <c r="O98" s="130"/>
      <c r="P98" s="174"/>
      <c r="Q98" s="174"/>
      <c r="R98" s="174"/>
      <c r="S98" s="174"/>
      <c r="T98" s="122" t="str">
        <f t="shared" si="5"/>
        <v/>
      </c>
      <c r="U98" s="123" t="str">
        <f t="shared" si="6"/>
        <v/>
      </c>
      <c r="V98" s="17"/>
      <c r="W98" s="17"/>
      <c r="X98" s="17"/>
      <c r="Y98" s="17"/>
      <c r="Z98" s="17"/>
      <c r="AA98" s="17"/>
      <c r="AB98" s="17"/>
      <c r="AC98" s="17"/>
      <c r="AD98" s="17"/>
      <c r="AE98" s="17"/>
      <c r="AF98" s="17"/>
    </row>
    <row r="99" ht="15.75" customHeight="1">
      <c r="A99" s="17"/>
      <c r="B99" s="135">
        <v>34.0</v>
      </c>
      <c r="C99" s="170" t="str">
        <f>IF('INPUT DATA'!Q44="","",'INPUT DATA'!Q44)</f>
        <v/>
      </c>
      <c r="D99" s="172"/>
      <c r="E99" s="163"/>
      <c r="F99" s="162" t="str">
        <f>IF('INPUT DATA'!T44="","",'INPUT DATA'!T44)</f>
        <v/>
      </c>
      <c r="G99" s="163"/>
      <c r="H99" s="173" t="str">
        <f>IF('INPUT DATA'!S44="","",'INPUT DATA'!S44)</f>
        <v/>
      </c>
      <c r="I99" s="132" t="str">
        <f t="shared" si="4"/>
        <v/>
      </c>
      <c r="J99" s="132"/>
      <c r="K99" s="131"/>
      <c r="L99" s="130"/>
      <c r="M99" s="130"/>
      <c r="N99" s="130"/>
      <c r="O99" s="130"/>
      <c r="P99" s="174"/>
      <c r="Q99" s="174"/>
      <c r="R99" s="174"/>
      <c r="S99" s="174"/>
      <c r="T99" s="122" t="str">
        <f t="shared" si="5"/>
        <v/>
      </c>
      <c r="U99" s="123" t="str">
        <f t="shared" si="6"/>
        <v/>
      </c>
      <c r="V99" s="17"/>
      <c r="W99" s="17"/>
      <c r="X99" s="17"/>
      <c r="Y99" s="17"/>
      <c r="Z99" s="17"/>
      <c r="AA99" s="17"/>
      <c r="AB99" s="17"/>
      <c r="AC99" s="17"/>
      <c r="AD99" s="17"/>
      <c r="AE99" s="17"/>
      <c r="AF99" s="17"/>
    </row>
    <row r="100" ht="15.75" customHeight="1">
      <c r="A100" s="17"/>
      <c r="B100" s="135">
        <v>35.0</v>
      </c>
      <c r="C100" s="170" t="str">
        <f>IF('INPUT DATA'!Q45="","",'INPUT DATA'!Q45)</f>
        <v/>
      </c>
      <c r="D100" s="172"/>
      <c r="E100" s="163"/>
      <c r="F100" s="162" t="str">
        <f>IF('INPUT DATA'!T45="","",'INPUT DATA'!T45)</f>
        <v/>
      </c>
      <c r="G100" s="163"/>
      <c r="H100" s="173" t="str">
        <f>IF('INPUT DATA'!S45="","",'INPUT DATA'!S45)</f>
        <v/>
      </c>
      <c r="I100" s="132" t="str">
        <f t="shared" si="4"/>
        <v/>
      </c>
      <c r="J100" s="132"/>
      <c r="K100" s="131"/>
      <c r="L100" s="130"/>
      <c r="M100" s="130"/>
      <c r="N100" s="130"/>
      <c r="O100" s="130"/>
      <c r="P100" s="174"/>
      <c r="Q100" s="174"/>
      <c r="R100" s="174"/>
      <c r="S100" s="174"/>
      <c r="T100" s="122" t="str">
        <f t="shared" si="5"/>
        <v/>
      </c>
      <c r="U100" s="123" t="str">
        <f t="shared" si="6"/>
        <v/>
      </c>
      <c r="V100" s="17"/>
      <c r="W100" s="17"/>
      <c r="X100" s="17"/>
      <c r="Y100" s="17"/>
      <c r="Z100" s="17"/>
      <c r="AA100" s="17"/>
      <c r="AB100" s="17"/>
      <c r="AC100" s="17"/>
      <c r="AD100" s="17"/>
      <c r="AE100" s="17"/>
      <c r="AF100" s="17"/>
    </row>
    <row r="101" ht="15.75" customHeight="1">
      <c r="A101" s="17"/>
      <c r="B101" s="135">
        <v>36.0</v>
      </c>
      <c r="C101" s="170" t="str">
        <f>IF('INPUT DATA'!Q46="","",'INPUT DATA'!Q46)</f>
        <v/>
      </c>
      <c r="D101" s="172"/>
      <c r="E101" s="163"/>
      <c r="F101" s="162" t="str">
        <f>IF('INPUT DATA'!T46="","",'INPUT DATA'!T46)</f>
        <v/>
      </c>
      <c r="G101" s="163"/>
      <c r="H101" s="173" t="str">
        <f>IF('INPUT DATA'!S46="","",'INPUT DATA'!S46)</f>
        <v/>
      </c>
      <c r="I101" s="132" t="str">
        <f t="shared" si="4"/>
        <v/>
      </c>
      <c r="J101" s="132"/>
      <c r="K101" s="131"/>
      <c r="L101" s="130"/>
      <c r="M101" s="130"/>
      <c r="N101" s="130"/>
      <c r="O101" s="130"/>
      <c r="P101" s="174"/>
      <c r="Q101" s="174"/>
      <c r="R101" s="174"/>
      <c r="S101" s="174"/>
      <c r="T101" s="122" t="str">
        <f t="shared" si="5"/>
        <v/>
      </c>
      <c r="U101" s="123" t="str">
        <f t="shared" si="6"/>
        <v/>
      </c>
      <c r="V101" s="17"/>
      <c r="W101" s="17"/>
      <c r="X101" s="17"/>
      <c r="Y101" s="17"/>
      <c r="Z101" s="17"/>
      <c r="AA101" s="17"/>
      <c r="AB101" s="17"/>
      <c r="AC101" s="17"/>
      <c r="AD101" s="17"/>
      <c r="AE101" s="17"/>
      <c r="AF101" s="17"/>
    </row>
    <row r="102" ht="15.75" customHeight="1">
      <c r="A102" s="17"/>
      <c r="B102" s="135">
        <v>37.0</v>
      </c>
      <c r="C102" s="170" t="str">
        <f>IF('INPUT DATA'!Q47="","",'INPUT DATA'!Q47)</f>
        <v/>
      </c>
      <c r="D102" s="172"/>
      <c r="E102" s="163"/>
      <c r="F102" s="162" t="str">
        <f>IF('INPUT DATA'!T47="","",'INPUT DATA'!T47)</f>
        <v/>
      </c>
      <c r="G102" s="163"/>
      <c r="H102" s="173" t="str">
        <f>IF('INPUT DATA'!S47="","",'INPUT DATA'!S47)</f>
        <v/>
      </c>
      <c r="I102" s="132" t="str">
        <f t="shared" si="4"/>
        <v/>
      </c>
      <c r="J102" s="132"/>
      <c r="K102" s="131"/>
      <c r="L102" s="130"/>
      <c r="M102" s="130"/>
      <c r="N102" s="130"/>
      <c r="O102" s="130"/>
      <c r="P102" s="174"/>
      <c r="Q102" s="174"/>
      <c r="R102" s="174"/>
      <c r="S102" s="174"/>
      <c r="T102" s="122" t="str">
        <f t="shared" si="5"/>
        <v/>
      </c>
      <c r="U102" s="123" t="str">
        <f t="shared" si="6"/>
        <v/>
      </c>
      <c r="V102" s="17"/>
      <c r="W102" s="17"/>
      <c r="X102" s="17"/>
      <c r="Y102" s="17"/>
      <c r="Z102" s="17"/>
      <c r="AA102" s="17"/>
      <c r="AB102" s="17"/>
      <c r="AC102" s="17"/>
      <c r="AD102" s="17"/>
      <c r="AE102" s="17"/>
      <c r="AF102" s="17"/>
    </row>
    <row r="103" ht="15.75" customHeight="1">
      <c r="A103" s="17"/>
      <c r="B103" s="135">
        <v>38.0</v>
      </c>
      <c r="C103" s="170" t="str">
        <f>IF('INPUT DATA'!Q48="","",'INPUT DATA'!Q48)</f>
        <v/>
      </c>
      <c r="D103" s="172"/>
      <c r="E103" s="163"/>
      <c r="F103" s="162" t="str">
        <f>IF('INPUT DATA'!T48="","",'INPUT DATA'!T48)</f>
        <v/>
      </c>
      <c r="G103" s="163"/>
      <c r="H103" s="173" t="str">
        <f>IF('INPUT DATA'!S48="","",'INPUT DATA'!S48)</f>
        <v/>
      </c>
      <c r="I103" s="132" t="str">
        <f t="shared" si="4"/>
        <v/>
      </c>
      <c r="J103" s="132"/>
      <c r="K103" s="131"/>
      <c r="L103" s="130"/>
      <c r="M103" s="130"/>
      <c r="N103" s="130"/>
      <c r="O103" s="130"/>
      <c r="P103" s="174"/>
      <c r="Q103" s="174"/>
      <c r="R103" s="174"/>
      <c r="S103" s="174"/>
      <c r="T103" s="122" t="str">
        <f t="shared" si="5"/>
        <v/>
      </c>
      <c r="U103" s="123" t="str">
        <f t="shared" si="6"/>
        <v/>
      </c>
      <c r="V103" s="17"/>
      <c r="W103" s="17"/>
      <c r="X103" s="17"/>
      <c r="Y103" s="17"/>
      <c r="Z103" s="17"/>
      <c r="AA103" s="17"/>
      <c r="AB103" s="17"/>
      <c r="AC103" s="17"/>
      <c r="AD103" s="17"/>
      <c r="AE103" s="17"/>
      <c r="AF103" s="17"/>
    </row>
    <row r="104" ht="15.75" customHeight="1">
      <c r="A104" s="17"/>
      <c r="B104" s="135">
        <v>39.0</v>
      </c>
      <c r="C104" s="170" t="str">
        <f>IF('INPUT DATA'!Q49="","",'INPUT DATA'!Q49)</f>
        <v/>
      </c>
      <c r="D104" s="172"/>
      <c r="E104" s="163"/>
      <c r="F104" s="162" t="str">
        <f>IF('INPUT DATA'!T49="","",'INPUT DATA'!T49)</f>
        <v/>
      </c>
      <c r="G104" s="163"/>
      <c r="H104" s="173" t="str">
        <f>IF('INPUT DATA'!S49="","",'INPUT DATA'!S49)</f>
        <v/>
      </c>
      <c r="I104" s="132" t="str">
        <f t="shared" si="4"/>
        <v/>
      </c>
      <c r="J104" s="132"/>
      <c r="K104" s="131"/>
      <c r="L104" s="130"/>
      <c r="M104" s="130"/>
      <c r="N104" s="130"/>
      <c r="O104" s="130"/>
      <c r="P104" s="174"/>
      <c r="Q104" s="174"/>
      <c r="R104" s="174"/>
      <c r="S104" s="174"/>
      <c r="T104" s="122" t="str">
        <f t="shared" si="5"/>
        <v/>
      </c>
      <c r="U104" s="123" t="str">
        <f t="shared" si="6"/>
        <v/>
      </c>
      <c r="V104" s="17"/>
      <c r="W104" s="17"/>
      <c r="X104" s="17"/>
      <c r="Y104" s="17"/>
      <c r="Z104" s="17"/>
      <c r="AA104" s="17"/>
      <c r="AB104" s="17"/>
      <c r="AC104" s="17"/>
      <c r="AD104" s="17"/>
      <c r="AE104" s="17"/>
      <c r="AF104" s="17"/>
    </row>
    <row r="105" ht="15.75" customHeight="1">
      <c r="A105" s="17"/>
      <c r="B105" s="135">
        <v>40.0</v>
      </c>
      <c r="C105" s="170" t="str">
        <f>IF('INPUT DATA'!Q50="","",'INPUT DATA'!Q50)</f>
        <v/>
      </c>
      <c r="D105" s="172"/>
      <c r="E105" s="163"/>
      <c r="F105" s="162" t="str">
        <f>IF('INPUT DATA'!T50="","",'INPUT DATA'!T50)</f>
        <v/>
      </c>
      <c r="G105" s="163"/>
      <c r="H105" s="173" t="str">
        <f>IF('INPUT DATA'!S50="","",'INPUT DATA'!S50)</f>
        <v/>
      </c>
      <c r="I105" s="132" t="str">
        <f t="shared" si="4"/>
        <v/>
      </c>
      <c r="J105" s="132"/>
      <c r="K105" s="131"/>
      <c r="L105" s="130"/>
      <c r="M105" s="130"/>
      <c r="N105" s="130"/>
      <c r="O105" s="130"/>
      <c r="P105" s="174"/>
      <c r="Q105" s="174"/>
      <c r="R105" s="174"/>
      <c r="S105" s="174"/>
      <c r="T105" s="122" t="str">
        <f t="shared" si="5"/>
        <v/>
      </c>
      <c r="U105" s="123" t="str">
        <f t="shared" si="6"/>
        <v/>
      </c>
      <c r="V105" s="17"/>
      <c r="W105" s="17"/>
      <c r="X105" s="17"/>
      <c r="Y105" s="17"/>
      <c r="Z105" s="17"/>
      <c r="AA105" s="17"/>
      <c r="AB105" s="17"/>
      <c r="AC105" s="17"/>
      <c r="AD105" s="17"/>
      <c r="AE105" s="17"/>
      <c r="AF105" s="17"/>
    </row>
    <row r="106" ht="15.75" customHeight="1">
      <c r="A106" s="17"/>
      <c r="B106" s="135">
        <v>41.0</v>
      </c>
      <c r="C106" s="170" t="str">
        <f>IF('INPUT DATA'!Q51="","",'INPUT DATA'!Q51)</f>
        <v/>
      </c>
      <c r="D106" s="172"/>
      <c r="E106" s="163"/>
      <c r="F106" s="162" t="str">
        <f>IF('INPUT DATA'!T51="","",'INPUT DATA'!T51)</f>
        <v/>
      </c>
      <c r="G106" s="163"/>
      <c r="H106" s="173" t="str">
        <f>IF('INPUT DATA'!S51="","",'INPUT DATA'!S51)</f>
        <v/>
      </c>
      <c r="I106" s="132" t="str">
        <f t="shared" si="4"/>
        <v/>
      </c>
      <c r="J106" s="132"/>
      <c r="K106" s="131"/>
      <c r="L106" s="130"/>
      <c r="M106" s="130"/>
      <c r="N106" s="130"/>
      <c r="O106" s="130"/>
      <c r="P106" s="174"/>
      <c r="Q106" s="174"/>
      <c r="R106" s="174"/>
      <c r="S106" s="174"/>
      <c r="T106" s="122" t="str">
        <f t="shared" si="5"/>
        <v/>
      </c>
      <c r="U106" s="123" t="str">
        <f t="shared" si="6"/>
        <v/>
      </c>
      <c r="V106" s="17"/>
      <c r="W106" s="17"/>
      <c r="X106" s="17"/>
      <c r="Y106" s="17"/>
      <c r="Z106" s="17"/>
      <c r="AA106" s="17"/>
      <c r="AB106" s="17"/>
      <c r="AC106" s="17"/>
      <c r="AD106" s="17"/>
      <c r="AE106" s="17"/>
      <c r="AF106" s="17"/>
    </row>
    <row r="107" ht="15.75" customHeight="1">
      <c r="A107" s="17"/>
      <c r="B107" s="135">
        <v>42.0</v>
      </c>
      <c r="C107" s="170" t="str">
        <f>IF('INPUT DATA'!Q52="","",'INPUT DATA'!Q52)</f>
        <v/>
      </c>
      <c r="D107" s="172"/>
      <c r="E107" s="163"/>
      <c r="F107" s="162" t="str">
        <f>IF('INPUT DATA'!T52="","",'INPUT DATA'!T52)</f>
        <v/>
      </c>
      <c r="G107" s="163"/>
      <c r="H107" s="173" t="str">
        <f>IF('INPUT DATA'!S52="","",'INPUT DATA'!S52)</f>
        <v/>
      </c>
      <c r="I107" s="132" t="str">
        <f t="shared" si="4"/>
        <v/>
      </c>
      <c r="J107" s="132"/>
      <c r="K107" s="131"/>
      <c r="L107" s="130"/>
      <c r="M107" s="130"/>
      <c r="N107" s="130"/>
      <c r="O107" s="130"/>
      <c r="P107" s="174"/>
      <c r="Q107" s="174"/>
      <c r="R107" s="174"/>
      <c r="S107" s="174"/>
      <c r="T107" s="122" t="str">
        <f t="shared" si="5"/>
        <v/>
      </c>
      <c r="U107" s="123" t="str">
        <f t="shared" si="6"/>
        <v/>
      </c>
      <c r="V107" s="17"/>
      <c r="W107" s="17"/>
      <c r="X107" s="17"/>
      <c r="Y107" s="17"/>
      <c r="Z107" s="17"/>
      <c r="AA107" s="17"/>
      <c r="AB107" s="17"/>
      <c r="AC107" s="17"/>
      <c r="AD107" s="17"/>
      <c r="AE107" s="17"/>
      <c r="AF107" s="17"/>
    </row>
    <row r="108" ht="15.75" customHeight="1">
      <c r="A108" s="17"/>
      <c r="B108" s="135">
        <v>43.0</v>
      </c>
      <c r="C108" s="170" t="str">
        <f>IF('INPUT DATA'!Q53="","",'INPUT DATA'!Q53)</f>
        <v/>
      </c>
      <c r="D108" s="172"/>
      <c r="E108" s="163"/>
      <c r="F108" s="162" t="str">
        <f>IF('INPUT DATA'!T53="","",'INPUT DATA'!T53)</f>
        <v/>
      </c>
      <c r="G108" s="163"/>
      <c r="H108" s="173" t="str">
        <f>IF('INPUT DATA'!S53="","",'INPUT DATA'!S53)</f>
        <v/>
      </c>
      <c r="I108" s="132" t="str">
        <f t="shared" si="4"/>
        <v/>
      </c>
      <c r="J108" s="132"/>
      <c r="K108" s="131"/>
      <c r="L108" s="130"/>
      <c r="M108" s="130"/>
      <c r="N108" s="130"/>
      <c r="O108" s="130"/>
      <c r="P108" s="174"/>
      <c r="Q108" s="174"/>
      <c r="R108" s="174"/>
      <c r="S108" s="174"/>
      <c r="T108" s="122" t="str">
        <f t="shared" si="5"/>
        <v/>
      </c>
      <c r="U108" s="123" t="str">
        <f t="shared" si="6"/>
        <v/>
      </c>
      <c r="V108" s="17"/>
      <c r="W108" s="17"/>
      <c r="X108" s="17"/>
      <c r="Y108" s="17"/>
      <c r="Z108" s="17"/>
      <c r="AA108" s="17"/>
      <c r="AB108" s="17"/>
      <c r="AC108" s="17"/>
      <c r="AD108" s="17"/>
      <c r="AE108" s="17"/>
      <c r="AF108" s="17"/>
    </row>
    <row r="109" ht="15.75" customHeight="1">
      <c r="A109" s="17"/>
      <c r="B109" s="135">
        <v>44.0</v>
      </c>
      <c r="C109" s="170" t="str">
        <f>IF('INPUT DATA'!Q54="","",'INPUT DATA'!Q54)</f>
        <v/>
      </c>
      <c r="D109" s="172"/>
      <c r="E109" s="163"/>
      <c r="F109" s="162" t="str">
        <f>IF('INPUT DATA'!T54="","",'INPUT DATA'!T54)</f>
        <v/>
      </c>
      <c r="G109" s="163"/>
      <c r="H109" s="173" t="str">
        <f>IF('INPUT DATA'!S54="","",'INPUT DATA'!S54)</f>
        <v/>
      </c>
      <c r="I109" s="132" t="str">
        <f t="shared" si="4"/>
        <v/>
      </c>
      <c r="J109" s="132"/>
      <c r="K109" s="131"/>
      <c r="L109" s="130"/>
      <c r="M109" s="130"/>
      <c r="N109" s="130"/>
      <c r="O109" s="130"/>
      <c r="P109" s="174"/>
      <c r="Q109" s="174"/>
      <c r="R109" s="174"/>
      <c r="S109" s="174"/>
      <c r="T109" s="122" t="str">
        <f t="shared" si="5"/>
        <v/>
      </c>
      <c r="U109" s="123" t="str">
        <f t="shared" si="6"/>
        <v/>
      </c>
      <c r="V109" s="17"/>
      <c r="W109" s="17"/>
      <c r="X109" s="17"/>
      <c r="Y109" s="17"/>
      <c r="Z109" s="17"/>
      <c r="AA109" s="17"/>
      <c r="AB109" s="17"/>
      <c r="AC109" s="17"/>
      <c r="AD109" s="17"/>
      <c r="AE109" s="17"/>
      <c r="AF109" s="17"/>
    </row>
    <row r="110" ht="15.75" customHeight="1">
      <c r="A110" s="17"/>
      <c r="B110" s="135">
        <v>45.0</v>
      </c>
      <c r="C110" s="170" t="str">
        <f>IF('INPUT DATA'!Q55="","",'INPUT DATA'!Q55)</f>
        <v/>
      </c>
      <c r="D110" s="172"/>
      <c r="E110" s="163"/>
      <c r="F110" s="162" t="str">
        <f>IF('INPUT DATA'!T55="","",'INPUT DATA'!T55)</f>
        <v/>
      </c>
      <c r="G110" s="163"/>
      <c r="H110" s="173" t="str">
        <f>IF('INPUT DATA'!S55="","",'INPUT DATA'!S55)</f>
        <v/>
      </c>
      <c r="I110" s="132" t="str">
        <f t="shared" si="4"/>
        <v/>
      </c>
      <c r="J110" s="132"/>
      <c r="K110" s="136"/>
      <c r="L110" s="137"/>
      <c r="M110" s="137"/>
      <c r="N110" s="137"/>
      <c r="O110" s="137"/>
      <c r="P110" s="178"/>
      <c r="Q110" s="178"/>
      <c r="R110" s="178"/>
      <c r="S110" s="178"/>
      <c r="T110" s="122" t="str">
        <f t="shared" si="5"/>
        <v/>
      </c>
      <c r="U110" s="123" t="str">
        <f t="shared" si="6"/>
        <v/>
      </c>
      <c r="V110" s="17"/>
      <c r="W110" s="17"/>
      <c r="X110" s="17"/>
      <c r="Y110" s="17"/>
      <c r="Z110" s="17"/>
      <c r="AA110" s="17"/>
      <c r="AB110" s="17"/>
      <c r="AC110" s="17"/>
      <c r="AD110" s="17"/>
      <c r="AE110" s="17"/>
      <c r="AF110" s="17"/>
    </row>
    <row r="111" ht="15.75" customHeight="1">
      <c r="A111" s="17"/>
      <c r="B111" s="135">
        <v>46.0</v>
      </c>
      <c r="C111" s="170" t="str">
        <f>IF('INPUT DATA'!Q56="","",'INPUT DATA'!Q56)</f>
        <v/>
      </c>
      <c r="D111" s="172"/>
      <c r="E111" s="163"/>
      <c r="F111" s="162" t="str">
        <f>IF('INPUT DATA'!T56="","",'INPUT DATA'!T56)</f>
        <v/>
      </c>
      <c r="G111" s="163"/>
      <c r="H111" s="173" t="str">
        <f>IF('INPUT DATA'!S56="","",'INPUT DATA'!S56)</f>
        <v/>
      </c>
      <c r="I111" s="132" t="str">
        <f t="shared" si="4"/>
        <v/>
      </c>
      <c r="J111" s="132"/>
      <c r="K111" s="131"/>
      <c r="L111" s="130"/>
      <c r="M111" s="130"/>
      <c r="N111" s="130"/>
      <c r="O111" s="130"/>
      <c r="P111" s="174"/>
      <c r="Q111" s="174"/>
      <c r="R111" s="174"/>
      <c r="S111" s="174"/>
      <c r="T111" s="122" t="str">
        <f t="shared" si="5"/>
        <v/>
      </c>
      <c r="U111" s="123" t="str">
        <f t="shared" si="6"/>
        <v/>
      </c>
      <c r="V111" s="17"/>
      <c r="W111" s="17"/>
      <c r="X111" s="17"/>
      <c r="Y111" s="17"/>
      <c r="Z111" s="17"/>
      <c r="AA111" s="17"/>
      <c r="AB111" s="17"/>
      <c r="AC111" s="17"/>
      <c r="AD111" s="17"/>
      <c r="AE111" s="17"/>
      <c r="AF111" s="17"/>
    </row>
    <row r="112" ht="15.75" customHeight="1">
      <c r="A112" s="17"/>
      <c r="B112" s="135">
        <v>47.0</v>
      </c>
      <c r="C112" s="170" t="str">
        <f>IF('INPUT DATA'!Q57="","",'INPUT DATA'!Q57)</f>
        <v/>
      </c>
      <c r="D112" s="172"/>
      <c r="E112" s="163"/>
      <c r="F112" s="162" t="str">
        <f>IF('INPUT DATA'!T57="","",'INPUT DATA'!T57)</f>
        <v/>
      </c>
      <c r="G112" s="163"/>
      <c r="H112" s="173" t="str">
        <f>IF('INPUT DATA'!S57="","",'INPUT DATA'!S57)</f>
        <v/>
      </c>
      <c r="I112" s="132" t="str">
        <f t="shared" si="4"/>
        <v/>
      </c>
      <c r="J112" s="132"/>
      <c r="K112" s="131"/>
      <c r="L112" s="130"/>
      <c r="M112" s="130"/>
      <c r="N112" s="130"/>
      <c r="O112" s="130"/>
      <c r="P112" s="174"/>
      <c r="Q112" s="174"/>
      <c r="R112" s="174"/>
      <c r="S112" s="174"/>
      <c r="T112" s="122" t="str">
        <f t="shared" si="5"/>
        <v/>
      </c>
      <c r="U112" s="123" t="str">
        <f t="shared" si="6"/>
        <v/>
      </c>
      <c r="V112" s="17"/>
      <c r="W112" s="17"/>
      <c r="X112" s="17"/>
      <c r="Y112" s="17"/>
      <c r="Z112" s="17"/>
      <c r="AA112" s="17"/>
      <c r="AB112" s="17"/>
      <c r="AC112" s="17"/>
      <c r="AD112" s="17"/>
      <c r="AE112" s="17"/>
      <c r="AF112" s="17"/>
    </row>
    <row r="113" ht="15.75" customHeight="1">
      <c r="A113" s="17"/>
      <c r="B113" s="135">
        <v>48.0</v>
      </c>
      <c r="C113" s="170" t="str">
        <f>IF('INPUT DATA'!Q58="","",'INPUT DATA'!Q58)</f>
        <v/>
      </c>
      <c r="D113" s="172"/>
      <c r="E113" s="163"/>
      <c r="F113" s="162" t="str">
        <f>IF('INPUT DATA'!T58="","",'INPUT DATA'!T58)</f>
        <v/>
      </c>
      <c r="G113" s="163"/>
      <c r="H113" s="173" t="str">
        <f>IF('INPUT DATA'!S58="","",'INPUT DATA'!S58)</f>
        <v/>
      </c>
      <c r="I113" s="132" t="str">
        <f t="shared" si="4"/>
        <v/>
      </c>
      <c r="J113" s="132"/>
      <c r="K113" s="131"/>
      <c r="L113" s="130"/>
      <c r="M113" s="130"/>
      <c r="N113" s="130"/>
      <c r="O113" s="130"/>
      <c r="P113" s="174"/>
      <c r="Q113" s="174"/>
      <c r="R113" s="174"/>
      <c r="S113" s="174"/>
      <c r="T113" s="122" t="str">
        <f t="shared" si="5"/>
        <v/>
      </c>
      <c r="U113" s="123" t="str">
        <f t="shared" si="6"/>
        <v/>
      </c>
      <c r="V113" s="17"/>
      <c r="W113" s="17"/>
      <c r="X113" s="17"/>
      <c r="Y113" s="17"/>
      <c r="Z113" s="17"/>
      <c r="AA113" s="17"/>
      <c r="AB113" s="17"/>
      <c r="AC113" s="17"/>
      <c r="AD113" s="17"/>
      <c r="AE113" s="17"/>
      <c r="AF113" s="17"/>
    </row>
    <row r="114" ht="15.75" customHeight="1">
      <c r="A114" s="17"/>
      <c r="B114" s="135">
        <v>49.0</v>
      </c>
      <c r="C114" s="170" t="str">
        <f>IF('INPUT DATA'!Q59="","",'INPUT DATA'!Q59)</f>
        <v/>
      </c>
      <c r="D114" s="172"/>
      <c r="E114" s="163"/>
      <c r="F114" s="162" t="str">
        <f>IF('INPUT DATA'!T59="","",'INPUT DATA'!T59)</f>
        <v/>
      </c>
      <c r="G114" s="163"/>
      <c r="H114" s="173" t="str">
        <f>IF('INPUT DATA'!S59="","",'INPUT DATA'!S59)</f>
        <v/>
      </c>
      <c r="I114" s="132" t="str">
        <f t="shared" si="4"/>
        <v/>
      </c>
      <c r="J114" s="132"/>
      <c r="K114" s="131"/>
      <c r="L114" s="130"/>
      <c r="M114" s="130"/>
      <c r="N114" s="130"/>
      <c r="O114" s="130"/>
      <c r="P114" s="174"/>
      <c r="Q114" s="174"/>
      <c r="R114" s="174"/>
      <c r="S114" s="174"/>
      <c r="T114" s="122" t="str">
        <f t="shared" si="5"/>
        <v/>
      </c>
      <c r="U114" s="123" t="str">
        <f t="shared" si="6"/>
        <v/>
      </c>
      <c r="V114" s="17"/>
      <c r="W114" s="17"/>
      <c r="X114" s="17"/>
      <c r="Y114" s="17"/>
      <c r="Z114" s="17"/>
      <c r="AA114" s="17"/>
      <c r="AB114" s="17"/>
      <c r="AC114" s="17"/>
      <c r="AD114" s="17"/>
      <c r="AE114" s="17"/>
      <c r="AF114" s="17"/>
    </row>
    <row r="115" ht="15.75" customHeight="1">
      <c r="A115" s="17"/>
      <c r="B115" s="138">
        <v>50.0</v>
      </c>
      <c r="C115" s="154" t="str">
        <f>IF('INPUT DATA'!Q60="","",'INPUT DATA'!Q60)</f>
        <v/>
      </c>
      <c r="D115" s="155"/>
      <c r="E115" s="156"/>
      <c r="F115" s="181" t="str">
        <f>IF('INPUT DATA'!T60="","",'INPUT DATA'!T60)</f>
        <v/>
      </c>
      <c r="G115" s="156"/>
      <c r="H115" s="143" t="str">
        <f>IF('INPUT DATA'!S60="","",'INPUT DATA'!S60)</f>
        <v/>
      </c>
      <c r="I115" s="144" t="str">
        <f t="shared" si="4"/>
        <v/>
      </c>
      <c r="J115" s="144"/>
      <c r="K115" s="145"/>
      <c r="L115" s="146"/>
      <c r="M115" s="146"/>
      <c r="N115" s="146"/>
      <c r="O115" s="146"/>
      <c r="P115" s="183"/>
      <c r="Q115" s="183"/>
      <c r="R115" s="183"/>
      <c r="S115" s="183"/>
      <c r="T115" s="122" t="str">
        <f t="shared" si="5"/>
        <v/>
      </c>
      <c r="U115" s="123" t="str">
        <f t="shared" si="6"/>
        <v/>
      </c>
      <c r="V115" s="17"/>
      <c r="W115" s="17"/>
      <c r="X115" s="17"/>
      <c r="Y115" s="17"/>
      <c r="Z115" s="17"/>
      <c r="AA115" s="17"/>
      <c r="AB115" s="17"/>
      <c r="AC115" s="17"/>
      <c r="AD115" s="17"/>
      <c r="AE115" s="17"/>
      <c r="AF115" s="17"/>
    </row>
    <row r="116" ht="15.75" customHeight="1">
      <c r="A116" s="15"/>
      <c r="B116" s="15"/>
      <c r="C116" s="13"/>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15"/>
      <c r="C117" s="13"/>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15"/>
      <c r="C118" s="13"/>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15"/>
      <c r="C119" s="13"/>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15"/>
      <c r="C120" s="13"/>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15"/>
      <c r="C121" s="13"/>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15"/>
      <c r="C122" s="13"/>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15"/>
      <c r="C123" s="13"/>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15"/>
      <c r="C124" s="13"/>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15"/>
      <c r="C125" s="13"/>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15"/>
      <c r="C126" s="13"/>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K5:M5"/>
    <mergeCell ref="E6:G6"/>
    <mergeCell ref="K6:M6"/>
    <mergeCell ref="T6:U6"/>
    <mergeCell ref="B8:U8"/>
    <mergeCell ref="H11:H13"/>
    <mergeCell ref="I11:I13"/>
    <mergeCell ref="B9:E10"/>
    <mergeCell ref="G9:K9"/>
    <mergeCell ref="L9:M10"/>
    <mergeCell ref="G10:K10"/>
    <mergeCell ref="B11:E13"/>
    <mergeCell ref="F11:G13"/>
    <mergeCell ref="J11:J13"/>
    <mergeCell ref="N12:N13"/>
    <mergeCell ref="O12:O13"/>
    <mergeCell ref="N9:U10"/>
    <mergeCell ref="K11:S11"/>
    <mergeCell ref="T11:T13"/>
    <mergeCell ref="U11:U13"/>
    <mergeCell ref="K12:K13"/>
    <mergeCell ref="L12:L13"/>
    <mergeCell ref="M12:M13"/>
    <mergeCell ref="R12:S12"/>
    <mergeCell ref="P12:P13"/>
    <mergeCell ref="Q12:Q13"/>
    <mergeCell ref="B14:U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9" max="10" width="5.13"/>
    <col customWidth="1" min="11" max="11" width="9.0"/>
    <col customWidth="1" min="12" max="12" width="9.38"/>
    <col customWidth="1" min="13" max="13" width="12.75"/>
    <col customWidth="1" min="14" max="14" width="11.38"/>
    <col customWidth="1" min="15" max="18" width="9.5"/>
    <col customWidth="1" min="19" max="19" width="11.88"/>
    <col customWidth="1" min="22" max="22" width="3.88"/>
  </cols>
  <sheetData>
    <row r="1" ht="15.75" customHeight="1">
      <c r="A1" s="10" t="s">
        <v>56</v>
      </c>
      <c r="W1" s="13"/>
      <c r="X1" s="13"/>
      <c r="Y1" s="13"/>
      <c r="Z1" s="13"/>
      <c r="AA1" s="13"/>
      <c r="AB1" s="13"/>
      <c r="AC1" s="13"/>
      <c r="AD1" s="13"/>
      <c r="AE1" s="13"/>
      <c r="AF1" s="13"/>
    </row>
    <row r="2" ht="15.75" customHeight="1">
      <c r="W2" s="13"/>
      <c r="X2" s="13"/>
      <c r="Y2" s="13"/>
      <c r="Z2" s="13"/>
      <c r="AA2" s="13"/>
      <c r="AB2" s="13"/>
      <c r="AC2" s="13"/>
      <c r="AD2" s="13"/>
      <c r="AE2" s="13"/>
      <c r="AF2" s="13"/>
    </row>
    <row r="3" ht="15.75" customHeight="1">
      <c r="W3" s="13"/>
      <c r="X3" s="13"/>
      <c r="Y3" s="13"/>
      <c r="Z3" s="13"/>
      <c r="AA3" s="13"/>
      <c r="AB3" s="13"/>
      <c r="AC3" s="13"/>
      <c r="AD3" s="13"/>
      <c r="AE3" s="13"/>
      <c r="AF3" s="13"/>
    </row>
    <row r="4" ht="15.75" customHeight="1">
      <c r="W4" s="15"/>
      <c r="X4" s="15"/>
      <c r="Y4" s="15"/>
      <c r="Z4" s="15"/>
      <c r="AA4" s="15"/>
      <c r="AB4" s="15"/>
      <c r="AC4" s="15"/>
      <c r="AD4" s="15"/>
      <c r="AE4" s="15"/>
      <c r="AF4" s="15"/>
    </row>
    <row r="5" ht="15.75" customHeight="1">
      <c r="A5" s="17"/>
      <c r="B5" s="19"/>
      <c r="C5" s="20"/>
      <c r="D5" s="21" t="s">
        <v>5</v>
      </c>
      <c r="E5" s="28" t="str">
        <f>'INPUT DATA'!F10</f>
        <v>NCR</v>
      </c>
      <c r="F5" s="29"/>
      <c r="G5" s="30"/>
      <c r="H5" s="31"/>
      <c r="I5" s="21" t="s">
        <v>8</v>
      </c>
      <c r="J5" s="21"/>
      <c r="K5" s="28" t="str">
        <f>'INPUT DATA'!F11</f>
        <v>LAS PINAS</v>
      </c>
      <c r="L5" s="29"/>
      <c r="M5" s="30"/>
      <c r="N5" s="37"/>
      <c r="O5" s="31"/>
      <c r="P5" s="31"/>
      <c r="Q5" s="31"/>
      <c r="R5" s="31"/>
      <c r="S5" s="31"/>
      <c r="T5" s="31"/>
      <c r="U5" s="31"/>
      <c r="V5" s="17"/>
      <c r="W5" s="17"/>
      <c r="X5" s="17"/>
      <c r="Y5" s="17"/>
      <c r="Z5" s="17"/>
      <c r="AA5" s="17"/>
      <c r="AB5" s="17"/>
      <c r="AC5" s="17"/>
      <c r="AD5" s="17"/>
      <c r="AE5" s="17"/>
      <c r="AF5" s="17"/>
    </row>
    <row r="6" ht="15.75" customHeight="1">
      <c r="A6" s="17"/>
      <c r="B6" s="19"/>
      <c r="C6" s="39"/>
      <c r="D6" s="21" t="s">
        <v>13</v>
      </c>
      <c r="E6" s="28" t="str">
        <f>'INPUT DATA'!F16</f>
        <v>LAS PINAS EAST NATIONAL HIGH SCHOOL</v>
      </c>
      <c r="F6" s="29"/>
      <c r="G6" s="30"/>
      <c r="H6" s="31"/>
      <c r="I6" s="21" t="s">
        <v>16</v>
      </c>
      <c r="J6" s="21"/>
      <c r="K6" s="47">
        <f>'INPUT DATA'!F15</f>
        <v>305434</v>
      </c>
      <c r="L6" s="29"/>
      <c r="M6" s="30"/>
      <c r="N6" s="48"/>
      <c r="O6" s="49"/>
      <c r="P6" s="49"/>
      <c r="Q6" s="49"/>
      <c r="R6" s="49"/>
      <c r="S6" s="21" t="s">
        <v>22</v>
      </c>
      <c r="T6" s="47" t="str">
        <f>'INPUT DATA'!F18</f>
        <v>2026-2027</v>
      </c>
      <c r="U6" s="30"/>
      <c r="V6" s="17"/>
      <c r="W6" s="17"/>
      <c r="X6" s="17"/>
      <c r="Y6" s="17"/>
      <c r="Z6" s="17"/>
      <c r="AA6" s="17"/>
      <c r="AB6" s="17"/>
      <c r="AC6" s="17"/>
      <c r="AD6" s="17"/>
      <c r="AE6" s="17"/>
      <c r="AF6" s="17"/>
    </row>
    <row r="7" ht="15.75" customHeight="1">
      <c r="A7" s="15"/>
      <c r="B7" s="53"/>
      <c r="C7" s="54"/>
      <c r="D7" s="54"/>
      <c r="E7" s="15"/>
      <c r="F7" s="15"/>
      <c r="G7" s="57"/>
      <c r="I7" s="15"/>
      <c r="J7" s="15"/>
      <c r="K7" s="15"/>
      <c r="L7" s="54"/>
      <c r="M7" s="15"/>
      <c r="N7" s="15"/>
      <c r="O7" s="54"/>
      <c r="P7" s="54"/>
      <c r="Q7" s="54"/>
      <c r="R7" s="54"/>
      <c r="S7" s="15"/>
      <c r="T7" s="54"/>
      <c r="U7" s="15"/>
      <c r="V7" s="15"/>
      <c r="W7" s="15"/>
      <c r="X7" s="15"/>
      <c r="Y7" s="15"/>
      <c r="Z7" s="15"/>
      <c r="AA7" s="15"/>
      <c r="AB7" s="15"/>
      <c r="AC7" s="15"/>
      <c r="AD7" s="15"/>
      <c r="AE7" s="15"/>
      <c r="AF7" s="15"/>
    </row>
    <row r="8" ht="15.75" customHeight="1">
      <c r="A8" s="15"/>
      <c r="B8" s="61"/>
      <c r="C8" s="29"/>
      <c r="D8" s="29"/>
      <c r="E8" s="29"/>
      <c r="F8" s="29"/>
      <c r="G8" s="29"/>
      <c r="H8" s="29"/>
      <c r="I8" s="29"/>
      <c r="J8" s="29"/>
      <c r="K8" s="29"/>
      <c r="L8" s="29"/>
      <c r="M8" s="29"/>
      <c r="N8" s="29"/>
      <c r="O8" s="29"/>
      <c r="P8" s="29"/>
      <c r="Q8" s="29"/>
      <c r="R8" s="29"/>
      <c r="S8" s="29"/>
      <c r="T8" s="29"/>
      <c r="U8" s="30"/>
      <c r="V8" s="15"/>
      <c r="W8" s="15"/>
      <c r="X8" s="15"/>
      <c r="Y8" s="15"/>
      <c r="Z8" s="15"/>
      <c r="AA8" s="15"/>
      <c r="AB8" s="15"/>
      <c r="AC8" s="15"/>
      <c r="AD8" s="15"/>
      <c r="AE8" s="15"/>
      <c r="AF8" s="15"/>
    </row>
    <row r="9" ht="15.75" customHeight="1">
      <c r="A9" s="13"/>
      <c r="B9" s="65" t="s">
        <v>57</v>
      </c>
      <c r="E9" s="68"/>
      <c r="F9" s="72" t="s">
        <v>25</v>
      </c>
      <c r="G9" s="74">
        <f>'INPUT DATA'!F27</f>
        <v>10</v>
      </c>
      <c r="H9" s="75"/>
      <c r="I9" s="75"/>
      <c r="J9" s="75"/>
      <c r="K9" s="76"/>
      <c r="L9" s="77" t="s">
        <v>30</v>
      </c>
      <c r="M9" s="68"/>
      <c r="N9" s="81" t="str">
        <f>'INPUT DATA'!F26</f>
        <v>ROSALINDA S. VALE</v>
      </c>
      <c r="O9" s="12"/>
      <c r="P9" s="12"/>
      <c r="Q9" s="12"/>
      <c r="R9" s="12"/>
      <c r="S9" s="12"/>
      <c r="T9" s="12"/>
      <c r="U9" s="14"/>
      <c r="V9" s="13"/>
      <c r="W9" s="13"/>
      <c r="X9" s="13"/>
      <c r="Y9" s="13"/>
      <c r="Z9" s="13"/>
      <c r="AA9" s="13"/>
      <c r="AB9" s="13"/>
      <c r="AC9" s="13"/>
      <c r="AD9" s="13"/>
      <c r="AE9" s="13"/>
      <c r="AF9" s="13"/>
    </row>
    <row r="10" ht="15.75" customHeight="1">
      <c r="A10" s="13"/>
      <c r="B10" s="83"/>
      <c r="E10" s="68"/>
      <c r="F10" s="84" t="s">
        <v>31</v>
      </c>
      <c r="G10" s="74" t="str">
        <f>'INPUT DATA'!F28</f>
        <v>PAMAYPAY</v>
      </c>
      <c r="H10" s="75"/>
      <c r="I10" s="75"/>
      <c r="J10" s="75"/>
      <c r="K10" s="76"/>
      <c r="L10" s="85"/>
      <c r="M10" s="76"/>
      <c r="N10" s="85"/>
      <c r="O10" s="75"/>
      <c r="P10" s="75"/>
      <c r="Q10" s="75"/>
      <c r="R10" s="75"/>
      <c r="S10" s="75"/>
      <c r="T10" s="75"/>
      <c r="U10" s="76"/>
      <c r="V10" s="13"/>
      <c r="W10" s="13"/>
      <c r="X10" s="13"/>
      <c r="Y10" s="13"/>
      <c r="Z10" s="13"/>
      <c r="AA10" s="13"/>
      <c r="AB10" s="13"/>
      <c r="AC10" s="13"/>
      <c r="AD10" s="13"/>
      <c r="AE10" s="13"/>
      <c r="AF10" s="13"/>
    </row>
    <row r="11" ht="14.25" customHeight="1">
      <c r="A11" s="15"/>
      <c r="B11" s="86" t="s">
        <v>33</v>
      </c>
      <c r="C11" s="12"/>
      <c r="D11" s="12"/>
      <c r="E11" s="14"/>
      <c r="F11" s="88" t="s">
        <v>10</v>
      </c>
      <c r="G11" s="14"/>
      <c r="H11" s="91" t="s">
        <v>34</v>
      </c>
      <c r="I11" s="91" t="s">
        <v>36</v>
      </c>
      <c r="J11" s="91" t="s">
        <v>37</v>
      </c>
      <c r="K11" s="92" t="s">
        <v>38</v>
      </c>
      <c r="L11" s="75"/>
      <c r="M11" s="75"/>
      <c r="N11" s="75"/>
      <c r="O11" s="75"/>
      <c r="P11" s="75"/>
      <c r="Q11" s="75"/>
      <c r="R11" s="75"/>
      <c r="S11" s="75"/>
      <c r="T11" s="94" t="s">
        <v>39</v>
      </c>
      <c r="U11" s="96" t="s">
        <v>41</v>
      </c>
      <c r="V11" s="37"/>
      <c r="W11" s="15"/>
      <c r="X11" s="15"/>
      <c r="Y11" s="15"/>
      <c r="Z11" s="15"/>
      <c r="AA11" s="15"/>
      <c r="AB11" s="15"/>
      <c r="AC11" s="15"/>
      <c r="AD11" s="15"/>
      <c r="AE11" s="15"/>
      <c r="AF11" s="15"/>
    </row>
    <row r="12" ht="14.25" customHeight="1">
      <c r="A12" s="15"/>
      <c r="B12" s="83"/>
      <c r="E12" s="68"/>
      <c r="F12" s="83"/>
      <c r="G12" s="68"/>
      <c r="H12" s="97"/>
      <c r="I12" s="97"/>
      <c r="J12" s="97"/>
      <c r="K12" s="91" t="s">
        <v>42</v>
      </c>
      <c r="L12" s="91" t="s">
        <v>43</v>
      </c>
      <c r="M12" s="91" t="s">
        <v>45</v>
      </c>
      <c r="N12" s="91" t="s">
        <v>46</v>
      </c>
      <c r="O12" s="91" t="s">
        <v>47</v>
      </c>
      <c r="P12" s="91" t="s">
        <v>48</v>
      </c>
      <c r="Q12" s="91" t="s">
        <v>49</v>
      </c>
      <c r="R12" s="102" t="s">
        <v>50</v>
      </c>
      <c r="S12" s="30"/>
      <c r="T12" s="97"/>
      <c r="U12" s="68"/>
      <c r="V12" s="37"/>
      <c r="W12" s="15"/>
      <c r="X12" s="15"/>
      <c r="Y12" s="15"/>
      <c r="Z12" s="15"/>
      <c r="AA12" s="15"/>
      <c r="AB12" s="15"/>
      <c r="AC12" s="15"/>
      <c r="AD12" s="15"/>
      <c r="AE12" s="15"/>
      <c r="AF12" s="15"/>
    </row>
    <row r="13" ht="15.75" customHeight="1">
      <c r="A13" s="15"/>
      <c r="B13" s="85"/>
      <c r="C13" s="75"/>
      <c r="D13" s="75"/>
      <c r="E13" s="76"/>
      <c r="F13" s="85"/>
      <c r="G13" s="76"/>
      <c r="H13" s="105"/>
      <c r="I13" s="105"/>
      <c r="J13" s="105"/>
      <c r="K13" s="105"/>
      <c r="L13" s="105"/>
      <c r="M13" s="105"/>
      <c r="N13" s="105"/>
      <c r="O13" s="105"/>
      <c r="P13" s="105"/>
      <c r="Q13" s="105"/>
      <c r="R13" s="106" t="s">
        <v>52</v>
      </c>
      <c r="S13" s="107" t="s">
        <v>53</v>
      </c>
      <c r="T13" s="105"/>
      <c r="U13" s="76"/>
      <c r="V13" s="37"/>
      <c r="W13" s="15"/>
      <c r="X13" s="15"/>
      <c r="Y13" s="15"/>
      <c r="Z13" s="15"/>
      <c r="AA13" s="15"/>
      <c r="AB13" s="15"/>
      <c r="AC13" s="15"/>
      <c r="AD13" s="15"/>
      <c r="AE13" s="15"/>
      <c r="AF13" s="15"/>
    </row>
    <row r="14" ht="15.75" customHeight="1">
      <c r="A14" s="17"/>
      <c r="B14" s="111"/>
      <c r="C14" s="29"/>
      <c r="D14" s="29"/>
      <c r="E14" s="29"/>
      <c r="F14" s="29"/>
      <c r="G14" s="29"/>
      <c r="H14" s="29"/>
      <c r="I14" s="29"/>
      <c r="J14" s="29"/>
      <c r="K14" s="29"/>
      <c r="L14" s="29"/>
      <c r="M14" s="29"/>
      <c r="N14" s="29"/>
      <c r="O14" s="29"/>
      <c r="P14" s="29"/>
      <c r="Q14" s="29"/>
      <c r="R14" s="29"/>
      <c r="S14" s="29"/>
      <c r="T14" s="29"/>
      <c r="U14" s="30"/>
      <c r="V14" s="17"/>
      <c r="W14" s="17"/>
      <c r="X14" s="17"/>
      <c r="Y14" s="17"/>
      <c r="Z14" s="17"/>
      <c r="AA14" s="17"/>
      <c r="AB14" s="17"/>
      <c r="AC14" s="17"/>
      <c r="AD14" s="17"/>
      <c r="AE14" s="17"/>
      <c r="AF14" s="17"/>
    </row>
    <row r="15" ht="15.75" customHeight="1">
      <c r="A15" s="17"/>
      <c r="B15" s="112">
        <v>1.0</v>
      </c>
      <c r="C15" s="113" t="str">
        <f>IF('INPUT DATA'!L11="","",'INPUT DATA'!L11)</f>
        <v>A</v>
      </c>
      <c r="D15" s="114"/>
      <c r="E15" s="115"/>
      <c r="F15" s="116">
        <f>IF('INPUT DATA'!M11="","",'INPUT DATA'!M11)</f>
        <v>123456789012</v>
      </c>
      <c r="G15" s="115"/>
      <c r="H15" s="117">
        <f>IF('INPUT DATA'!N11="","",'INPUT DATA'!N11)</f>
        <v>40355</v>
      </c>
      <c r="I15" s="118">
        <f t="shared" ref="I15:I64" si="1">IF(H15="","",DATEDIF(H15,TODAY(),"Y"))</f>
        <v>16</v>
      </c>
      <c r="J15" s="120" t="s">
        <v>54</v>
      </c>
      <c r="K15" s="121">
        <v>91.0</v>
      </c>
      <c r="L15" s="119">
        <v>90.0</v>
      </c>
      <c r="M15" s="119">
        <v>92.0</v>
      </c>
      <c r="N15" s="119">
        <v>90.0</v>
      </c>
      <c r="O15" s="119">
        <v>91.0</v>
      </c>
      <c r="P15" s="119">
        <v>92.0</v>
      </c>
      <c r="Q15" s="119">
        <v>91.0</v>
      </c>
      <c r="R15" s="119">
        <v>92.0</v>
      </c>
      <c r="S15" s="119">
        <v>92.0</v>
      </c>
      <c r="T15" s="122">
        <f t="shared" ref="T15:T64" si="2">IF(COUNT(K15:S15)=0,"",ROUND((K15+L15+M15+N15+O15+S15)/6,0))</f>
        <v>91</v>
      </c>
      <c r="U15" s="123">
        <f t="shared" ref="U15:U64" si="3">IF(T15="","",_xlfn.RANK.AVG(T15,$T$15:$T$115))</f>
        <v>2.5</v>
      </c>
      <c r="V15" s="17"/>
      <c r="W15" s="17"/>
      <c r="X15" s="17"/>
      <c r="Y15" s="17"/>
      <c r="Z15" s="17"/>
      <c r="AA15" s="17"/>
      <c r="AB15" s="17"/>
      <c r="AC15" s="17"/>
      <c r="AD15" s="17"/>
      <c r="AE15" s="17"/>
      <c r="AF15" s="17"/>
    </row>
    <row r="16" ht="15.75" customHeight="1">
      <c r="A16" s="17"/>
      <c r="B16" s="125">
        <v>2.0</v>
      </c>
      <c r="C16" s="113" t="str">
        <f>IF('INPUT DATA'!L12="","",'INPUT DATA'!L12)</f>
        <v>B</v>
      </c>
      <c r="D16" s="114"/>
      <c r="E16" s="115"/>
      <c r="F16" s="116">
        <f>IF('INPUT DATA'!M12="","",'INPUT DATA'!M12)</f>
        <v>2</v>
      </c>
      <c r="G16" s="115"/>
      <c r="H16" s="128">
        <f>IF('INPUT DATA'!N12="","",'INPUT DATA'!N12)</f>
        <v>40574</v>
      </c>
      <c r="I16" s="129">
        <f t="shared" si="1"/>
        <v>15</v>
      </c>
      <c r="J16" s="132" t="s">
        <v>54</v>
      </c>
      <c r="K16" s="131">
        <v>90.0</v>
      </c>
      <c r="L16" s="130">
        <v>93.0</v>
      </c>
      <c r="M16" s="130">
        <v>89.0</v>
      </c>
      <c r="N16" s="130">
        <v>90.0</v>
      </c>
      <c r="O16" s="130">
        <v>88.0</v>
      </c>
      <c r="P16" s="130">
        <v>90.0</v>
      </c>
      <c r="Q16" s="130">
        <v>91.0</v>
      </c>
      <c r="R16" s="130">
        <v>90.0</v>
      </c>
      <c r="S16" s="130">
        <v>90.0</v>
      </c>
      <c r="T16" s="122">
        <f t="shared" si="2"/>
        <v>90</v>
      </c>
      <c r="U16" s="123">
        <f t="shared" si="3"/>
        <v>5</v>
      </c>
      <c r="V16" s="17"/>
      <c r="W16" s="17"/>
      <c r="X16" s="17"/>
      <c r="Y16" s="17"/>
      <c r="Z16" s="17"/>
      <c r="AA16" s="17"/>
      <c r="AB16" s="17"/>
      <c r="AC16" s="17"/>
      <c r="AD16" s="17"/>
      <c r="AE16" s="17"/>
      <c r="AF16" s="17"/>
    </row>
    <row r="17" ht="15.75" customHeight="1">
      <c r="A17" s="17"/>
      <c r="B17" s="125">
        <v>3.0</v>
      </c>
      <c r="C17" s="113" t="str">
        <f>IF('INPUT DATA'!L13="","",'INPUT DATA'!L13)</f>
        <v/>
      </c>
      <c r="D17" s="114"/>
      <c r="E17" s="115"/>
      <c r="F17" s="134" t="str">
        <f>IF('INPUT DATA'!M13="","",'INPUT DATA'!M13)</f>
        <v/>
      </c>
      <c r="G17" s="115"/>
      <c r="H17" s="128" t="str">
        <f>IF('INPUT DATA'!N13="","",'INPUT DATA'!N13)</f>
        <v/>
      </c>
      <c r="I17" s="129" t="str">
        <f t="shared" si="1"/>
        <v/>
      </c>
      <c r="J17" s="132" t="s">
        <v>54</v>
      </c>
      <c r="K17" s="131">
        <v>92.0</v>
      </c>
      <c r="L17" s="130">
        <v>89.0</v>
      </c>
      <c r="M17" s="130">
        <v>87.0</v>
      </c>
      <c r="N17" s="130">
        <v>90.0</v>
      </c>
      <c r="O17" s="130">
        <v>84.0</v>
      </c>
      <c r="P17" s="130">
        <v>86.0</v>
      </c>
      <c r="Q17" s="130">
        <v>91.0</v>
      </c>
      <c r="R17" s="130">
        <v>86.0</v>
      </c>
      <c r="S17" s="130">
        <v>86.0</v>
      </c>
      <c r="T17" s="122">
        <f t="shared" si="2"/>
        <v>88</v>
      </c>
      <c r="U17" s="123">
        <f t="shared" si="3"/>
        <v>6</v>
      </c>
      <c r="V17" s="17"/>
      <c r="W17" s="17"/>
      <c r="X17" s="17"/>
      <c r="Y17" s="17"/>
      <c r="Z17" s="17"/>
      <c r="AA17" s="17"/>
      <c r="AB17" s="17"/>
      <c r="AC17" s="17"/>
      <c r="AD17" s="17"/>
      <c r="AE17" s="17"/>
      <c r="AF17" s="17"/>
    </row>
    <row r="18" ht="15.75" customHeight="1">
      <c r="A18" s="17"/>
      <c r="B18" s="125">
        <v>4.0</v>
      </c>
      <c r="C18" s="113" t="str">
        <f>IF('INPUT DATA'!L14="","",'INPUT DATA'!L14)</f>
        <v/>
      </c>
      <c r="D18" s="114"/>
      <c r="E18" s="115"/>
      <c r="F18" s="134" t="str">
        <f>IF('INPUT DATA'!M14="","",'INPUT DATA'!M14)</f>
        <v/>
      </c>
      <c r="G18" s="115"/>
      <c r="H18" s="128" t="str">
        <f>IF('INPUT DATA'!N14="","",'INPUT DATA'!N14)</f>
        <v/>
      </c>
      <c r="I18" s="129" t="str">
        <f t="shared" si="1"/>
        <v/>
      </c>
      <c r="J18" s="132"/>
      <c r="K18" s="131"/>
      <c r="L18" s="130"/>
      <c r="M18" s="130"/>
      <c r="N18" s="130"/>
      <c r="O18" s="130"/>
      <c r="P18" s="130"/>
      <c r="Q18" s="130"/>
      <c r="R18" s="130"/>
      <c r="S18" s="130"/>
      <c r="T18" s="122" t="str">
        <f t="shared" si="2"/>
        <v/>
      </c>
      <c r="U18" s="123" t="str">
        <f t="shared" si="3"/>
        <v/>
      </c>
      <c r="V18" s="17"/>
      <c r="W18" s="17"/>
      <c r="X18" s="17"/>
      <c r="Y18" s="17"/>
      <c r="Z18" s="17"/>
      <c r="AA18" s="17"/>
      <c r="AB18" s="17"/>
      <c r="AC18" s="17"/>
      <c r="AD18" s="17"/>
      <c r="AE18" s="17"/>
      <c r="AF18" s="17"/>
    </row>
    <row r="19" ht="15.75" customHeight="1">
      <c r="A19" s="17"/>
      <c r="B19" s="125">
        <v>5.0</v>
      </c>
      <c r="C19" s="113" t="str">
        <f>IF('INPUT DATA'!L15="","",'INPUT DATA'!L15)</f>
        <v/>
      </c>
      <c r="D19" s="114"/>
      <c r="E19" s="115"/>
      <c r="F19" s="134" t="str">
        <f>IF('INPUT DATA'!M15="","",'INPUT DATA'!M15)</f>
        <v/>
      </c>
      <c r="G19" s="115"/>
      <c r="H19" s="128" t="str">
        <f>IF('INPUT DATA'!N15="","",'INPUT DATA'!N15)</f>
        <v/>
      </c>
      <c r="I19" s="129" t="str">
        <f t="shared" si="1"/>
        <v/>
      </c>
      <c r="J19" s="132"/>
      <c r="K19" s="131"/>
      <c r="L19" s="130"/>
      <c r="M19" s="130"/>
      <c r="N19" s="130"/>
      <c r="O19" s="130"/>
      <c r="P19" s="130"/>
      <c r="Q19" s="130"/>
      <c r="R19" s="130"/>
      <c r="S19" s="130"/>
      <c r="T19" s="122" t="str">
        <f t="shared" si="2"/>
        <v/>
      </c>
      <c r="U19" s="123" t="str">
        <f t="shared" si="3"/>
        <v/>
      </c>
      <c r="V19" s="17"/>
      <c r="W19" s="17"/>
      <c r="X19" s="17"/>
      <c r="Y19" s="17"/>
      <c r="Z19" s="17"/>
      <c r="AA19" s="17"/>
      <c r="AB19" s="17"/>
      <c r="AC19" s="17"/>
      <c r="AD19" s="17"/>
      <c r="AE19" s="17"/>
      <c r="AF19" s="17"/>
    </row>
    <row r="20" ht="15.75" customHeight="1">
      <c r="A20" s="17"/>
      <c r="B20" s="125">
        <v>6.0</v>
      </c>
      <c r="C20" s="113" t="str">
        <f>IF('INPUT DATA'!L16="","",'INPUT DATA'!L16)</f>
        <v/>
      </c>
      <c r="D20" s="114"/>
      <c r="E20" s="115"/>
      <c r="F20" s="134" t="str">
        <f>IF('INPUT DATA'!M16="","",'INPUT DATA'!M16)</f>
        <v/>
      </c>
      <c r="G20" s="115"/>
      <c r="H20" s="128" t="str">
        <f>IF('INPUT DATA'!N16="","",'INPUT DATA'!N16)</f>
        <v/>
      </c>
      <c r="I20" s="129" t="str">
        <f t="shared" si="1"/>
        <v/>
      </c>
      <c r="J20" s="132"/>
      <c r="K20" s="131"/>
      <c r="L20" s="130"/>
      <c r="M20" s="130"/>
      <c r="N20" s="130"/>
      <c r="O20" s="130"/>
      <c r="P20" s="130"/>
      <c r="Q20" s="130"/>
      <c r="R20" s="130"/>
      <c r="S20" s="130"/>
      <c r="T20" s="122" t="str">
        <f t="shared" si="2"/>
        <v/>
      </c>
      <c r="U20" s="123" t="str">
        <f t="shared" si="3"/>
        <v/>
      </c>
      <c r="V20" s="17"/>
      <c r="W20" s="17"/>
      <c r="X20" s="17"/>
      <c r="Y20" s="17"/>
      <c r="Z20" s="17"/>
      <c r="AA20" s="17"/>
      <c r="AB20" s="17"/>
      <c r="AC20" s="17"/>
      <c r="AD20" s="17"/>
      <c r="AE20" s="17"/>
      <c r="AF20" s="17"/>
    </row>
    <row r="21" ht="15.75" customHeight="1">
      <c r="A21" s="17"/>
      <c r="B21" s="125">
        <v>7.0</v>
      </c>
      <c r="C21" s="113" t="str">
        <f>IF('INPUT DATA'!L17="","",'INPUT DATA'!L17)</f>
        <v/>
      </c>
      <c r="D21" s="114"/>
      <c r="E21" s="115"/>
      <c r="F21" s="134" t="str">
        <f>IF('INPUT DATA'!M17="","",'INPUT DATA'!M17)</f>
        <v/>
      </c>
      <c r="G21" s="115"/>
      <c r="H21" s="128" t="str">
        <f>IF('INPUT DATA'!N17="","",'INPUT DATA'!N17)</f>
        <v/>
      </c>
      <c r="I21" s="129" t="str">
        <f t="shared" si="1"/>
        <v/>
      </c>
      <c r="J21" s="132"/>
      <c r="K21" s="131"/>
      <c r="L21" s="130"/>
      <c r="M21" s="130"/>
      <c r="N21" s="130"/>
      <c r="O21" s="130"/>
      <c r="P21" s="130"/>
      <c r="Q21" s="130"/>
      <c r="R21" s="130"/>
      <c r="S21" s="130"/>
      <c r="T21" s="122" t="str">
        <f t="shared" si="2"/>
        <v/>
      </c>
      <c r="U21" s="123" t="str">
        <f t="shared" si="3"/>
        <v/>
      </c>
      <c r="V21" s="17"/>
      <c r="W21" s="17"/>
      <c r="X21" s="17"/>
      <c r="Y21" s="17"/>
      <c r="Z21" s="17"/>
      <c r="AA21" s="17"/>
      <c r="AB21" s="17"/>
      <c r="AC21" s="17"/>
      <c r="AD21" s="17"/>
      <c r="AE21" s="17"/>
      <c r="AF21" s="17"/>
    </row>
    <row r="22" ht="15.75" customHeight="1">
      <c r="A22" s="17"/>
      <c r="B22" s="125">
        <v>8.0</v>
      </c>
      <c r="C22" s="113" t="str">
        <f>IF('INPUT DATA'!L18="","",'INPUT DATA'!L18)</f>
        <v/>
      </c>
      <c r="D22" s="114"/>
      <c r="E22" s="115"/>
      <c r="F22" s="134" t="str">
        <f>IF('INPUT DATA'!M18="","",'INPUT DATA'!M18)</f>
        <v/>
      </c>
      <c r="G22" s="115"/>
      <c r="H22" s="128" t="str">
        <f>IF('INPUT DATA'!N18="","",'INPUT DATA'!N18)</f>
        <v/>
      </c>
      <c r="I22" s="129" t="str">
        <f t="shared" si="1"/>
        <v/>
      </c>
      <c r="J22" s="132"/>
      <c r="K22" s="131"/>
      <c r="L22" s="130"/>
      <c r="M22" s="130"/>
      <c r="N22" s="130"/>
      <c r="O22" s="130"/>
      <c r="P22" s="130"/>
      <c r="Q22" s="130"/>
      <c r="R22" s="130"/>
      <c r="S22" s="130"/>
      <c r="T22" s="122" t="str">
        <f t="shared" si="2"/>
        <v/>
      </c>
      <c r="U22" s="123" t="str">
        <f t="shared" si="3"/>
        <v/>
      </c>
      <c r="V22" s="17"/>
      <c r="W22" s="17"/>
      <c r="X22" s="17"/>
      <c r="Y22" s="17"/>
      <c r="Z22" s="17"/>
      <c r="AA22" s="17"/>
      <c r="AB22" s="17"/>
      <c r="AC22" s="17"/>
      <c r="AD22" s="17"/>
      <c r="AE22" s="17"/>
      <c r="AF22" s="17"/>
    </row>
    <row r="23" ht="15.75" customHeight="1">
      <c r="A23" s="17"/>
      <c r="B23" s="125">
        <v>9.0</v>
      </c>
      <c r="C23" s="113" t="str">
        <f>IF('INPUT DATA'!L19="","",'INPUT DATA'!L19)</f>
        <v/>
      </c>
      <c r="D23" s="114"/>
      <c r="E23" s="115"/>
      <c r="F23" s="134" t="str">
        <f>IF('INPUT DATA'!M19="","",'INPUT DATA'!M19)</f>
        <v/>
      </c>
      <c r="G23" s="115"/>
      <c r="H23" s="128" t="str">
        <f>IF('INPUT DATA'!N19="","",'INPUT DATA'!N19)</f>
        <v/>
      </c>
      <c r="I23" s="129" t="str">
        <f t="shared" si="1"/>
        <v/>
      </c>
      <c r="J23" s="132"/>
      <c r="K23" s="131"/>
      <c r="L23" s="130"/>
      <c r="M23" s="130"/>
      <c r="N23" s="130"/>
      <c r="O23" s="130"/>
      <c r="P23" s="130"/>
      <c r="Q23" s="130"/>
      <c r="R23" s="130"/>
      <c r="S23" s="130"/>
      <c r="T23" s="122" t="str">
        <f t="shared" si="2"/>
        <v/>
      </c>
      <c r="U23" s="123" t="str">
        <f t="shared" si="3"/>
        <v/>
      </c>
      <c r="V23" s="17"/>
      <c r="W23" s="17"/>
      <c r="X23" s="17"/>
      <c r="Y23" s="17"/>
      <c r="Z23" s="17"/>
      <c r="AA23" s="17"/>
      <c r="AB23" s="17"/>
      <c r="AC23" s="17"/>
      <c r="AD23" s="17"/>
      <c r="AE23" s="17"/>
      <c r="AF23" s="17"/>
    </row>
    <row r="24" ht="15.75" customHeight="1">
      <c r="A24" s="17"/>
      <c r="B24" s="125">
        <v>10.0</v>
      </c>
      <c r="C24" s="113" t="str">
        <f>IF('INPUT DATA'!L20="","",'INPUT DATA'!L20)</f>
        <v/>
      </c>
      <c r="D24" s="114"/>
      <c r="E24" s="115"/>
      <c r="F24" s="134" t="str">
        <f>IF('INPUT DATA'!M20="","",'INPUT DATA'!M20)</f>
        <v/>
      </c>
      <c r="G24" s="115"/>
      <c r="H24" s="128" t="str">
        <f>IF('INPUT DATA'!N20="","",'INPUT DATA'!N20)</f>
        <v/>
      </c>
      <c r="I24" s="129" t="str">
        <f t="shared" si="1"/>
        <v/>
      </c>
      <c r="J24" s="132"/>
      <c r="K24" s="131"/>
      <c r="L24" s="130"/>
      <c r="M24" s="130"/>
      <c r="N24" s="130"/>
      <c r="O24" s="130"/>
      <c r="P24" s="130"/>
      <c r="Q24" s="130"/>
      <c r="R24" s="130"/>
      <c r="S24" s="130"/>
      <c r="T24" s="122" t="str">
        <f t="shared" si="2"/>
        <v/>
      </c>
      <c r="U24" s="123" t="str">
        <f t="shared" si="3"/>
        <v/>
      </c>
      <c r="V24" s="17"/>
      <c r="W24" s="17"/>
      <c r="X24" s="17"/>
      <c r="Y24" s="17"/>
      <c r="Z24" s="17"/>
      <c r="AA24" s="17"/>
      <c r="AB24" s="17"/>
      <c r="AC24" s="17"/>
      <c r="AD24" s="17"/>
      <c r="AE24" s="17"/>
      <c r="AF24" s="17"/>
    </row>
    <row r="25" ht="15.75" customHeight="1">
      <c r="A25" s="17"/>
      <c r="B25" s="125">
        <v>11.0</v>
      </c>
      <c r="C25" s="113" t="str">
        <f>IF('INPUT DATA'!L21="","",'INPUT DATA'!L21)</f>
        <v/>
      </c>
      <c r="D25" s="114"/>
      <c r="E25" s="115"/>
      <c r="F25" s="134" t="str">
        <f>IF('INPUT DATA'!M21="","",'INPUT DATA'!M21)</f>
        <v/>
      </c>
      <c r="G25" s="115"/>
      <c r="H25" s="128" t="str">
        <f>IF('INPUT DATA'!N21="","",'INPUT DATA'!N21)</f>
        <v/>
      </c>
      <c r="I25" s="129" t="str">
        <f t="shared" si="1"/>
        <v/>
      </c>
      <c r="J25" s="132"/>
      <c r="K25" s="131"/>
      <c r="L25" s="130"/>
      <c r="M25" s="130"/>
      <c r="N25" s="130"/>
      <c r="O25" s="130"/>
      <c r="P25" s="130"/>
      <c r="Q25" s="130"/>
      <c r="R25" s="130"/>
      <c r="S25" s="130"/>
      <c r="T25" s="122" t="str">
        <f t="shared" si="2"/>
        <v/>
      </c>
      <c r="U25" s="123" t="str">
        <f t="shared" si="3"/>
        <v/>
      </c>
      <c r="V25" s="17"/>
      <c r="W25" s="17"/>
      <c r="X25" s="17"/>
      <c r="Y25" s="17"/>
      <c r="Z25" s="17"/>
      <c r="AA25" s="17"/>
      <c r="AB25" s="17"/>
      <c r="AC25" s="17"/>
      <c r="AD25" s="17"/>
      <c r="AE25" s="17"/>
      <c r="AF25" s="17"/>
    </row>
    <row r="26" ht="15.75" customHeight="1">
      <c r="A26" s="17"/>
      <c r="B26" s="125">
        <v>12.0</v>
      </c>
      <c r="C26" s="113" t="str">
        <f>IF('INPUT DATA'!L22="","",'INPUT DATA'!L22)</f>
        <v/>
      </c>
      <c r="D26" s="114"/>
      <c r="E26" s="115"/>
      <c r="F26" s="134" t="str">
        <f>IF('INPUT DATA'!M22="","",'INPUT DATA'!M22)</f>
        <v/>
      </c>
      <c r="G26" s="115"/>
      <c r="H26" s="128" t="str">
        <f>IF('INPUT DATA'!N22="","",'INPUT DATA'!N22)</f>
        <v/>
      </c>
      <c r="I26" s="129" t="str">
        <f t="shared" si="1"/>
        <v/>
      </c>
      <c r="J26" s="132"/>
      <c r="K26" s="131"/>
      <c r="L26" s="130"/>
      <c r="M26" s="130"/>
      <c r="N26" s="130"/>
      <c r="O26" s="130"/>
      <c r="P26" s="130"/>
      <c r="Q26" s="130"/>
      <c r="R26" s="130"/>
      <c r="S26" s="130"/>
      <c r="T26" s="122" t="str">
        <f t="shared" si="2"/>
        <v/>
      </c>
      <c r="U26" s="123" t="str">
        <f t="shared" si="3"/>
        <v/>
      </c>
      <c r="V26" s="17"/>
      <c r="W26" s="17"/>
      <c r="X26" s="17"/>
      <c r="Y26" s="17"/>
      <c r="Z26" s="17"/>
      <c r="AA26" s="17"/>
      <c r="AB26" s="17"/>
      <c r="AC26" s="17"/>
      <c r="AD26" s="17"/>
      <c r="AE26" s="17"/>
      <c r="AF26" s="17"/>
    </row>
    <row r="27" ht="15.75" customHeight="1">
      <c r="A27" s="17"/>
      <c r="B27" s="125">
        <v>13.0</v>
      </c>
      <c r="C27" s="113" t="str">
        <f>IF('INPUT DATA'!L23="","",'INPUT DATA'!L23)</f>
        <v/>
      </c>
      <c r="D27" s="114"/>
      <c r="E27" s="115"/>
      <c r="F27" s="134" t="str">
        <f>IF('INPUT DATA'!M23="","",'INPUT DATA'!M23)</f>
        <v/>
      </c>
      <c r="G27" s="115"/>
      <c r="H27" s="128" t="str">
        <f>IF('INPUT DATA'!N23="","",'INPUT DATA'!N23)</f>
        <v/>
      </c>
      <c r="I27" s="129" t="str">
        <f t="shared" si="1"/>
        <v/>
      </c>
      <c r="J27" s="132"/>
      <c r="K27" s="131"/>
      <c r="L27" s="130"/>
      <c r="M27" s="130"/>
      <c r="N27" s="130"/>
      <c r="O27" s="130"/>
      <c r="P27" s="130"/>
      <c r="Q27" s="130"/>
      <c r="R27" s="130"/>
      <c r="S27" s="130"/>
      <c r="T27" s="122" t="str">
        <f t="shared" si="2"/>
        <v/>
      </c>
      <c r="U27" s="123" t="str">
        <f t="shared" si="3"/>
        <v/>
      </c>
      <c r="V27" s="17"/>
      <c r="W27" s="17"/>
      <c r="X27" s="17"/>
      <c r="Y27" s="17"/>
      <c r="Z27" s="17"/>
      <c r="AA27" s="17"/>
      <c r="AB27" s="17"/>
      <c r="AC27" s="17"/>
      <c r="AD27" s="17"/>
      <c r="AE27" s="17"/>
      <c r="AF27" s="17"/>
    </row>
    <row r="28" ht="15.75" customHeight="1">
      <c r="A28" s="17"/>
      <c r="B28" s="125">
        <v>14.0</v>
      </c>
      <c r="C28" s="113" t="str">
        <f>IF('INPUT DATA'!L24="","",'INPUT DATA'!L24)</f>
        <v/>
      </c>
      <c r="D28" s="114"/>
      <c r="E28" s="115"/>
      <c r="F28" s="134" t="str">
        <f>IF('INPUT DATA'!M24="","",'INPUT DATA'!M24)</f>
        <v/>
      </c>
      <c r="G28" s="115"/>
      <c r="H28" s="128" t="str">
        <f>IF('INPUT DATA'!N24="","",'INPUT DATA'!N24)</f>
        <v/>
      </c>
      <c r="I28" s="129" t="str">
        <f t="shared" si="1"/>
        <v/>
      </c>
      <c r="J28" s="132"/>
      <c r="K28" s="131"/>
      <c r="L28" s="130"/>
      <c r="M28" s="130"/>
      <c r="N28" s="130"/>
      <c r="O28" s="130"/>
      <c r="P28" s="130"/>
      <c r="Q28" s="130"/>
      <c r="R28" s="130"/>
      <c r="S28" s="130"/>
      <c r="T28" s="122" t="str">
        <f t="shared" si="2"/>
        <v/>
      </c>
      <c r="U28" s="123" t="str">
        <f t="shared" si="3"/>
        <v/>
      </c>
      <c r="V28" s="17"/>
      <c r="W28" s="17"/>
      <c r="X28" s="17"/>
      <c r="Y28" s="17"/>
      <c r="Z28" s="17"/>
      <c r="AA28" s="17"/>
      <c r="AB28" s="17"/>
      <c r="AC28" s="17"/>
      <c r="AD28" s="17"/>
      <c r="AE28" s="17"/>
      <c r="AF28" s="17"/>
    </row>
    <row r="29" ht="15.75" customHeight="1">
      <c r="A29" s="17"/>
      <c r="B29" s="125">
        <v>15.0</v>
      </c>
      <c r="C29" s="113" t="str">
        <f>IF('INPUT DATA'!L25="","",'INPUT DATA'!L25)</f>
        <v/>
      </c>
      <c r="D29" s="114"/>
      <c r="E29" s="115"/>
      <c r="F29" s="134" t="str">
        <f>IF('INPUT DATA'!M25="","",'INPUT DATA'!M25)</f>
        <v/>
      </c>
      <c r="G29" s="115"/>
      <c r="H29" s="128" t="str">
        <f>IF('INPUT DATA'!N25="","",'INPUT DATA'!N25)</f>
        <v/>
      </c>
      <c r="I29" s="129" t="str">
        <f t="shared" si="1"/>
        <v/>
      </c>
      <c r="J29" s="132"/>
      <c r="K29" s="131"/>
      <c r="L29" s="130"/>
      <c r="M29" s="130"/>
      <c r="N29" s="130"/>
      <c r="O29" s="130"/>
      <c r="P29" s="130"/>
      <c r="Q29" s="130"/>
      <c r="R29" s="130"/>
      <c r="S29" s="130"/>
      <c r="T29" s="122" t="str">
        <f t="shared" si="2"/>
        <v/>
      </c>
      <c r="U29" s="123" t="str">
        <f t="shared" si="3"/>
        <v/>
      </c>
      <c r="V29" s="17"/>
      <c r="W29" s="17"/>
      <c r="X29" s="17"/>
      <c r="Y29" s="17"/>
      <c r="Z29" s="17"/>
      <c r="AA29" s="17"/>
      <c r="AB29" s="17"/>
      <c r="AC29" s="17"/>
      <c r="AD29" s="17"/>
      <c r="AE29" s="17"/>
      <c r="AF29" s="17"/>
    </row>
    <row r="30" ht="15.75" customHeight="1">
      <c r="A30" s="17"/>
      <c r="B30" s="125">
        <v>16.0</v>
      </c>
      <c r="C30" s="113" t="str">
        <f>IF('INPUT DATA'!L26="","",'INPUT DATA'!L26)</f>
        <v/>
      </c>
      <c r="D30" s="114"/>
      <c r="E30" s="115"/>
      <c r="F30" s="134" t="str">
        <f>IF('INPUT DATA'!M26="","",'INPUT DATA'!M26)</f>
        <v/>
      </c>
      <c r="G30" s="115"/>
      <c r="H30" s="128" t="str">
        <f>IF('INPUT DATA'!N26="","",'INPUT DATA'!N26)</f>
        <v/>
      </c>
      <c r="I30" s="129" t="str">
        <f t="shared" si="1"/>
        <v/>
      </c>
      <c r="J30" s="132"/>
      <c r="K30" s="131"/>
      <c r="L30" s="130"/>
      <c r="M30" s="130"/>
      <c r="N30" s="130"/>
      <c r="O30" s="130"/>
      <c r="P30" s="130"/>
      <c r="Q30" s="130"/>
      <c r="R30" s="130"/>
      <c r="S30" s="130"/>
      <c r="T30" s="122" t="str">
        <f t="shared" si="2"/>
        <v/>
      </c>
      <c r="U30" s="123" t="str">
        <f t="shared" si="3"/>
        <v/>
      </c>
      <c r="V30" s="17"/>
      <c r="W30" s="17"/>
      <c r="X30" s="17"/>
      <c r="Y30" s="17"/>
      <c r="Z30" s="17"/>
      <c r="AA30" s="17"/>
      <c r="AB30" s="17"/>
      <c r="AC30" s="17"/>
      <c r="AD30" s="17"/>
      <c r="AE30" s="17"/>
      <c r="AF30" s="17"/>
    </row>
    <row r="31" ht="15.75" customHeight="1">
      <c r="A31" s="17"/>
      <c r="B31" s="125">
        <v>17.0</v>
      </c>
      <c r="C31" s="113" t="str">
        <f>IF('INPUT DATA'!L27="","",'INPUT DATA'!L27)</f>
        <v/>
      </c>
      <c r="D31" s="114"/>
      <c r="E31" s="115"/>
      <c r="F31" s="134" t="str">
        <f>IF('INPUT DATA'!M27="","",'INPUT DATA'!M27)</f>
        <v/>
      </c>
      <c r="G31" s="115"/>
      <c r="H31" s="128" t="str">
        <f>IF('INPUT DATA'!N27="","",'INPUT DATA'!N27)</f>
        <v/>
      </c>
      <c r="I31" s="129" t="str">
        <f t="shared" si="1"/>
        <v/>
      </c>
      <c r="J31" s="132"/>
      <c r="K31" s="131"/>
      <c r="L31" s="130"/>
      <c r="M31" s="130"/>
      <c r="N31" s="130"/>
      <c r="O31" s="130"/>
      <c r="P31" s="130"/>
      <c r="Q31" s="130"/>
      <c r="R31" s="130"/>
      <c r="S31" s="130"/>
      <c r="T31" s="122" t="str">
        <f t="shared" si="2"/>
        <v/>
      </c>
      <c r="U31" s="123" t="str">
        <f t="shared" si="3"/>
        <v/>
      </c>
      <c r="V31" s="17"/>
      <c r="W31" s="17"/>
      <c r="X31" s="17"/>
      <c r="Y31" s="17"/>
      <c r="Z31" s="17"/>
      <c r="AA31" s="17"/>
      <c r="AB31" s="17"/>
      <c r="AC31" s="17"/>
      <c r="AD31" s="17"/>
      <c r="AE31" s="17"/>
      <c r="AF31" s="17"/>
    </row>
    <row r="32" ht="15.75" customHeight="1">
      <c r="A32" s="17"/>
      <c r="B32" s="125">
        <v>18.0</v>
      </c>
      <c r="C32" s="113" t="str">
        <f>IF('INPUT DATA'!L28="","",'INPUT DATA'!L28)</f>
        <v/>
      </c>
      <c r="D32" s="114"/>
      <c r="E32" s="115"/>
      <c r="F32" s="134" t="str">
        <f>IF('INPUT DATA'!M28="","",'INPUT DATA'!M28)</f>
        <v/>
      </c>
      <c r="G32" s="115"/>
      <c r="H32" s="128" t="str">
        <f>IF('INPUT DATA'!N28="","",'INPUT DATA'!N28)</f>
        <v/>
      </c>
      <c r="I32" s="129" t="str">
        <f t="shared" si="1"/>
        <v/>
      </c>
      <c r="J32" s="132"/>
      <c r="K32" s="131"/>
      <c r="L32" s="130"/>
      <c r="M32" s="130"/>
      <c r="N32" s="130"/>
      <c r="O32" s="130"/>
      <c r="P32" s="130"/>
      <c r="Q32" s="130"/>
      <c r="R32" s="130"/>
      <c r="S32" s="130"/>
      <c r="T32" s="122" t="str">
        <f t="shared" si="2"/>
        <v/>
      </c>
      <c r="U32" s="123" t="str">
        <f t="shared" si="3"/>
        <v/>
      </c>
      <c r="V32" s="17"/>
      <c r="W32" s="17"/>
      <c r="X32" s="17"/>
      <c r="Y32" s="17"/>
      <c r="Z32" s="17"/>
      <c r="AA32" s="17"/>
      <c r="AB32" s="17"/>
      <c r="AC32" s="17"/>
      <c r="AD32" s="17"/>
      <c r="AE32" s="17"/>
      <c r="AF32" s="17"/>
    </row>
    <row r="33" ht="15.75" customHeight="1">
      <c r="A33" s="17"/>
      <c r="B33" s="125">
        <v>19.0</v>
      </c>
      <c r="C33" s="113" t="str">
        <f>IF('INPUT DATA'!L29="","",'INPUT DATA'!L29)</f>
        <v/>
      </c>
      <c r="D33" s="114"/>
      <c r="E33" s="115"/>
      <c r="F33" s="134" t="str">
        <f>IF('INPUT DATA'!M29="","",'INPUT DATA'!M29)</f>
        <v/>
      </c>
      <c r="G33" s="115"/>
      <c r="H33" s="128" t="str">
        <f>IF('INPUT DATA'!N29="","",'INPUT DATA'!N29)</f>
        <v/>
      </c>
      <c r="I33" s="129" t="str">
        <f t="shared" si="1"/>
        <v/>
      </c>
      <c r="J33" s="132"/>
      <c r="K33" s="131"/>
      <c r="L33" s="130"/>
      <c r="M33" s="130"/>
      <c r="N33" s="130"/>
      <c r="O33" s="130"/>
      <c r="P33" s="130"/>
      <c r="Q33" s="130"/>
      <c r="R33" s="130"/>
      <c r="S33" s="130"/>
      <c r="T33" s="122" t="str">
        <f t="shared" si="2"/>
        <v/>
      </c>
      <c r="U33" s="123" t="str">
        <f t="shared" si="3"/>
        <v/>
      </c>
      <c r="V33" s="17"/>
      <c r="W33" s="17"/>
      <c r="X33" s="17"/>
      <c r="Y33" s="17"/>
      <c r="Z33" s="17"/>
      <c r="AA33" s="17"/>
      <c r="AB33" s="17"/>
      <c r="AC33" s="17"/>
      <c r="AD33" s="17"/>
      <c r="AE33" s="17"/>
      <c r="AF33" s="17"/>
    </row>
    <row r="34" ht="15.75" customHeight="1">
      <c r="A34" s="17"/>
      <c r="B34" s="135">
        <v>20.0</v>
      </c>
      <c r="C34" s="113" t="str">
        <f>IF('INPUT DATA'!L30="","",'INPUT DATA'!L30)</f>
        <v/>
      </c>
      <c r="D34" s="114"/>
      <c r="E34" s="115"/>
      <c r="F34" s="134" t="str">
        <f>IF('INPUT DATA'!M30="","",'INPUT DATA'!M30)</f>
        <v/>
      </c>
      <c r="G34" s="115"/>
      <c r="H34" s="128" t="str">
        <f>IF('INPUT DATA'!N30="","",'INPUT DATA'!N30)</f>
        <v/>
      </c>
      <c r="I34" s="129" t="str">
        <f t="shared" si="1"/>
        <v/>
      </c>
      <c r="J34" s="132"/>
      <c r="K34" s="136"/>
      <c r="L34" s="137"/>
      <c r="M34" s="137"/>
      <c r="N34" s="137"/>
      <c r="O34" s="137"/>
      <c r="P34" s="137"/>
      <c r="Q34" s="137"/>
      <c r="R34" s="137"/>
      <c r="S34" s="137"/>
      <c r="T34" s="122" t="str">
        <f t="shared" si="2"/>
        <v/>
      </c>
      <c r="U34" s="123" t="str">
        <f t="shared" si="3"/>
        <v/>
      </c>
      <c r="V34" s="17"/>
      <c r="W34" s="17"/>
      <c r="X34" s="17"/>
      <c r="Y34" s="17"/>
      <c r="Z34" s="17"/>
      <c r="AA34" s="17"/>
      <c r="AB34" s="17"/>
      <c r="AC34" s="17"/>
      <c r="AD34" s="17"/>
      <c r="AE34" s="17"/>
      <c r="AF34" s="17"/>
    </row>
    <row r="35" ht="15.75" customHeight="1">
      <c r="A35" s="17"/>
      <c r="B35" s="135">
        <v>21.0</v>
      </c>
      <c r="C35" s="113" t="str">
        <f>IF('INPUT DATA'!L31="","",'INPUT DATA'!L31)</f>
        <v/>
      </c>
      <c r="D35" s="114"/>
      <c r="E35" s="115"/>
      <c r="F35" s="134" t="str">
        <f>IF('INPUT DATA'!M31="","",'INPUT DATA'!M31)</f>
        <v/>
      </c>
      <c r="G35" s="115"/>
      <c r="H35" s="128" t="str">
        <f>IF('INPUT DATA'!N31="","",'INPUT DATA'!N31)</f>
        <v/>
      </c>
      <c r="I35" s="129" t="str">
        <f t="shared" si="1"/>
        <v/>
      </c>
      <c r="J35" s="132"/>
      <c r="K35" s="131"/>
      <c r="L35" s="130"/>
      <c r="M35" s="130"/>
      <c r="N35" s="130"/>
      <c r="O35" s="130"/>
      <c r="P35" s="130"/>
      <c r="Q35" s="130"/>
      <c r="R35" s="130"/>
      <c r="S35" s="130"/>
      <c r="T35" s="122" t="str">
        <f t="shared" si="2"/>
        <v/>
      </c>
      <c r="U35" s="123" t="str">
        <f t="shared" si="3"/>
        <v/>
      </c>
      <c r="V35" s="17"/>
      <c r="W35" s="17"/>
      <c r="X35" s="17"/>
      <c r="Y35" s="17"/>
      <c r="Z35" s="17"/>
      <c r="AA35" s="17"/>
      <c r="AB35" s="17"/>
      <c r="AC35" s="17"/>
      <c r="AD35" s="17"/>
      <c r="AE35" s="17"/>
      <c r="AF35" s="17"/>
    </row>
    <row r="36" ht="15.75" customHeight="1">
      <c r="A36" s="17"/>
      <c r="B36" s="135">
        <v>22.0</v>
      </c>
      <c r="C36" s="113" t="str">
        <f>IF('INPUT DATA'!L32="","",'INPUT DATA'!L32)</f>
        <v/>
      </c>
      <c r="D36" s="114"/>
      <c r="E36" s="115"/>
      <c r="F36" s="134" t="str">
        <f>IF('INPUT DATA'!M32="","",'INPUT DATA'!M32)</f>
        <v/>
      </c>
      <c r="G36" s="115"/>
      <c r="H36" s="128" t="str">
        <f>IF('INPUT DATA'!N32="","",'INPUT DATA'!N32)</f>
        <v/>
      </c>
      <c r="I36" s="129" t="str">
        <f t="shared" si="1"/>
        <v/>
      </c>
      <c r="J36" s="132"/>
      <c r="K36" s="131"/>
      <c r="L36" s="130"/>
      <c r="M36" s="130"/>
      <c r="N36" s="130"/>
      <c r="O36" s="130"/>
      <c r="P36" s="130"/>
      <c r="Q36" s="130"/>
      <c r="R36" s="130"/>
      <c r="S36" s="130"/>
      <c r="T36" s="122" t="str">
        <f t="shared" si="2"/>
        <v/>
      </c>
      <c r="U36" s="123" t="str">
        <f t="shared" si="3"/>
        <v/>
      </c>
      <c r="V36" s="17"/>
      <c r="W36" s="17"/>
      <c r="X36" s="17"/>
      <c r="Y36" s="17"/>
      <c r="Z36" s="17"/>
      <c r="AA36" s="17"/>
      <c r="AB36" s="17"/>
      <c r="AC36" s="17"/>
      <c r="AD36" s="17"/>
      <c r="AE36" s="17"/>
      <c r="AF36" s="17"/>
    </row>
    <row r="37" ht="15.75" customHeight="1">
      <c r="A37" s="17"/>
      <c r="B37" s="135">
        <v>23.0</v>
      </c>
      <c r="C37" s="113" t="str">
        <f>IF('INPUT DATA'!L33="","",'INPUT DATA'!L33)</f>
        <v/>
      </c>
      <c r="D37" s="114"/>
      <c r="E37" s="115"/>
      <c r="F37" s="134" t="str">
        <f>IF('INPUT DATA'!M33="","",'INPUT DATA'!M33)</f>
        <v/>
      </c>
      <c r="G37" s="115"/>
      <c r="H37" s="128" t="str">
        <f>IF('INPUT DATA'!N33="","",'INPUT DATA'!N33)</f>
        <v/>
      </c>
      <c r="I37" s="129" t="str">
        <f t="shared" si="1"/>
        <v/>
      </c>
      <c r="J37" s="132"/>
      <c r="K37" s="131"/>
      <c r="L37" s="130"/>
      <c r="M37" s="130"/>
      <c r="N37" s="130"/>
      <c r="O37" s="130"/>
      <c r="P37" s="130"/>
      <c r="Q37" s="130"/>
      <c r="R37" s="130"/>
      <c r="S37" s="130"/>
      <c r="T37" s="122" t="str">
        <f t="shared" si="2"/>
        <v/>
      </c>
      <c r="U37" s="123" t="str">
        <f t="shared" si="3"/>
        <v/>
      </c>
      <c r="V37" s="17"/>
      <c r="W37" s="17"/>
      <c r="X37" s="17"/>
      <c r="Y37" s="17"/>
      <c r="Z37" s="17"/>
      <c r="AA37" s="17"/>
      <c r="AB37" s="17"/>
      <c r="AC37" s="17"/>
      <c r="AD37" s="17"/>
      <c r="AE37" s="17"/>
      <c r="AF37" s="17"/>
    </row>
    <row r="38" ht="15.75" customHeight="1">
      <c r="A38" s="17"/>
      <c r="B38" s="135">
        <v>24.0</v>
      </c>
      <c r="C38" s="113" t="str">
        <f>IF('INPUT DATA'!L34="","",'INPUT DATA'!L34)</f>
        <v/>
      </c>
      <c r="D38" s="114"/>
      <c r="E38" s="115"/>
      <c r="F38" s="134" t="str">
        <f>IF('INPUT DATA'!M34="","",'INPUT DATA'!M34)</f>
        <v/>
      </c>
      <c r="G38" s="115"/>
      <c r="H38" s="128" t="str">
        <f>IF('INPUT DATA'!N34="","",'INPUT DATA'!N34)</f>
        <v/>
      </c>
      <c r="I38" s="129" t="str">
        <f t="shared" si="1"/>
        <v/>
      </c>
      <c r="J38" s="132"/>
      <c r="K38" s="131"/>
      <c r="L38" s="130"/>
      <c r="M38" s="130"/>
      <c r="N38" s="130"/>
      <c r="O38" s="130"/>
      <c r="P38" s="130"/>
      <c r="Q38" s="130"/>
      <c r="R38" s="130"/>
      <c r="S38" s="130"/>
      <c r="T38" s="122" t="str">
        <f t="shared" si="2"/>
        <v/>
      </c>
      <c r="U38" s="123" t="str">
        <f t="shared" si="3"/>
        <v/>
      </c>
      <c r="V38" s="17"/>
      <c r="W38" s="17"/>
      <c r="X38" s="17"/>
      <c r="Y38" s="17"/>
      <c r="Z38" s="17"/>
      <c r="AA38" s="17"/>
      <c r="AB38" s="17"/>
      <c r="AC38" s="17"/>
      <c r="AD38" s="17"/>
      <c r="AE38" s="17"/>
      <c r="AF38" s="17"/>
    </row>
    <row r="39" ht="15.75" customHeight="1">
      <c r="A39" s="17"/>
      <c r="B39" s="135">
        <v>25.0</v>
      </c>
      <c r="C39" s="113" t="str">
        <f>IF('INPUT DATA'!L35="","",'INPUT DATA'!L35)</f>
        <v/>
      </c>
      <c r="D39" s="114"/>
      <c r="E39" s="115"/>
      <c r="F39" s="134" t="str">
        <f>IF('INPUT DATA'!M35="","",'INPUT DATA'!M35)</f>
        <v/>
      </c>
      <c r="G39" s="115"/>
      <c r="H39" s="128" t="str">
        <f>IF('INPUT DATA'!N35="","",'INPUT DATA'!N35)</f>
        <v/>
      </c>
      <c r="I39" s="129" t="str">
        <f t="shared" si="1"/>
        <v/>
      </c>
      <c r="J39" s="132"/>
      <c r="K39" s="131"/>
      <c r="L39" s="130"/>
      <c r="M39" s="130"/>
      <c r="N39" s="130"/>
      <c r="O39" s="130"/>
      <c r="P39" s="130"/>
      <c r="Q39" s="130"/>
      <c r="R39" s="130"/>
      <c r="S39" s="130"/>
      <c r="T39" s="122" t="str">
        <f t="shared" si="2"/>
        <v/>
      </c>
      <c r="U39" s="123" t="str">
        <f t="shared" si="3"/>
        <v/>
      </c>
      <c r="V39" s="17"/>
      <c r="W39" s="17"/>
      <c r="X39" s="17"/>
      <c r="Y39" s="17"/>
      <c r="Z39" s="17"/>
      <c r="AA39" s="17"/>
      <c r="AB39" s="17"/>
      <c r="AC39" s="17"/>
      <c r="AD39" s="17"/>
      <c r="AE39" s="17"/>
      <c r="AF39" s="17"/>
    </row>
    <row r="40" ht="15.75" customHeight="1">
      <c r="A40" s="17"/>
      <c r="B40" s="135">
        <v>26.0</v>
      </c>
      <c r="C40" s="113" t="str">
        <f>IF('INPUT DATA'!L36="","",'INPUT DATA'!L36)</f>
        <v/>
      </c>
      <c r="D40" s="114"/>
      <c r="E40" s="115"/>
      <c r="F40" s="134" t="str">
        <f>IF('INPUT DATA'!M36="","",'INPUT DATA'!M36)</f>
        <v/>
      </c>
      <c r="G40" s="115"/>
      <c r="H40" s="128" t="str">
        <f>IF('INPUT DATA'!N36="","",'INPUT DATA'!N36)</f>
        <v/>
      </c>
      <c r="I40" s="129" t="str">
        <f t="shared" si="1"/>
        <v/>
      </c>
      <c r="J40" s="132"/>
      <c r="K40" s="131"/>
      <c r="L40" s="130"/>
      <c r="M40" s="130"/>
      <c r="N40" s="130"/>
      <c r="O40" s="130"/>
      <c r="P40" s="130"/>
      <c r="Q40" s="130"/>
      <c r="R40" s="130"/>
      <c r="S40" s="130"/>
      <c r="T40" s="122" t="str">
        <f t="shared" si="2"/>
        <v/>
      </c>
      <c r="U40" s="123" t="str">
        <f t="shared" si="3"/>
        <v/>
      </c>
      <c r="V40" s="17"/>
      <c r="W40" s="17"/>
      <c r="X40" s="17"/>
      <c r="Y40" s="17"/>
      <c r="Z40" s="17"/>
      <c r="AA40" s="17"/>
      <c r="AB40" s="17"/>
      <c r="AC40" s="17"/>
      <c r="AD40" s="17"/>
      <c r="AE40" s="17"/>
      <c r="AF40" s="17"/>
    </row>
    <row r="41" ht="15.75" customHeight="1">
      <c r="A41" s="17"/>
      <c r="B41" s="135">
        <v>27.0</v>
      </c>
      <c r="C41" s="113" t="str">
        <f>IF('INPUT DATA'!L37="","",'INPUT DATA'!L37)</f>
        <v/>
      </c>
      <c r="D41" s="114"/>
      <c r="E41" s="115"/>
      <c r="F41" s="134" t="str">
        <f>IF('INPUT DATA'!M37="","",'INPUT DATA'!M37)</f>
        <v/>
      </c>
      <c r="G41" s="115"/>
      <c r="H41" s="128" t="str">
        <f>IF('INPUT DATA'!N37="","",'INPUT DATA'!N37)</f>
        <v/>
      </c>
      <c r="I41" s="129" t="str">
        <f t="shared" si="1"/>
        <v/>
      </c>
      <c r="J41" s="132"/>
      <c r="K41" s="131"/>
      <c r="L41" s="130"/>
      <c r="M41" s="130"/>
      <c r="N41" s="130"/>
      <c r="O41" s="130"/>
      <c r="P41" s="130"/>
      <c r="Q41" s="130"/>
      <c r="R41" s="130"/>
      <c r="S41" s="130"/>
      <c r="T41" s="122" t="str">
        <f t="shared" si="2"/>
        <v/>
      </c>
      <c r="U41" s="123" t="str">
        <f t="shared" si="3"/>
        <v/>
      </c>
      <c r="V41" s="17"/>
      <c r="W41" s="17"/>
      <c r="X41" s="17"/>
      <c r="Y41" s="17"/>
      <c r="Z41" s="17"/>
      <c r="AA41" s="17"/>
      <c r="AB41" s="17"/>
      <c r="AC41" s="17"/>
      <c r="AD41" s="17"/>
      <c r="AE41" s="17"/>
      <c r="AF41" s="17"/>
    </row>
    <row r="42" ht="15.75" customHeight="1">
      <c r="A42" s="17"/>
      <c r="B42" s="135">
        <v>28.0</v>
      </c>
      <c r="C42" s="113" t="str">
        <f>IF('INPUT DATA'!L38="","",'INPUT DATA'!L38)</f>
        <v/>
      </c>
      <c r="D42" s="114"/>
      <c r="E42" s="115"/>
      <c r="F42" s="134" t="str">
        <f>IF('INPUT DATA'!M38="","",'INPUT DATA'!M38)</f>
        <v/>
      </c>
      <c r="G42" s="115"/>
      <c r="H42" s="128" t="str">
        <f>IF('INPUT DATA'!N38="","",'INPUT DATA'!N38)</f>
        <v/>
      </c>
      <c r="I42" s="129" t="str">
        <f t="shared" si="1"/>
        <v/>
      </c>
      <c r="J42" s="132"/>
      <c r="K42" s="131"/>
      <c r="L42" s="130"/>
      <c r="M42" s="130"/>
      <c r="N42" s="130"/>
      <c r="O42" s="130"/>
      <c r="P42" s="130"/>
      <c r="Q42" s="130"/>
      <c r="R42" s="130"/>
      <c r="S42" s="130"/>
      <c r="T42" s="122" t="str">
        <f t="shared" si="2"/>
        <v/>
      </c>
      <c r="U42" s="123" t="str">
        <f t="shared" si="3"/>
        <v/>
      </c>
      <c r="V42" s="17"/>
      <c r="W42" s="17"/>
      <c r="X42" s="17"/>
      <c r="Y42" s="17"/>
      <c r="Z42" s="17"/>
      <c r="AA42" s="17"/>
      <c r="AB42" s="17"/>
      <c r="AC42" s="17"/>
      <c r="AD42" s="17"/>
      <c r="AE42" s="17"/>
      <c r="AF42" s="17"/>
    </row>
    <row r="43" ht="15.75" customHeight="1">
      <c r="A43" s="17"/>
      <c r="B43" s="135">
        <v>29.0</v>
      </c>
      <c r="C43" s="113" t="str">
        <f>IF('INPUT DATA'!L39="","",'INPUT DATA'!L39)</f>
        <v/>
      </c>
      <c r="D43" s="114"/>
      <c r="E43" s="115"/>
      <c r="F43" s="134" t="str">
        <f>IF('INPUT DATA'!M39="","",'INPUT DATA'!M39)</f>
        <v/>
      </c>
      <c r="G43" s="115"/>
      <c r="H43" s="128" t="str">
        <f>IF('INPUT DATA'!N39="","",'INPUT DATA'!N39)</f>
        <v/>
      </c>
      <c r="I43" s="129" t="str">
        <f t="shared" si="1"/>
        <v/>
      </c>
      <c r="J43" s="132"/>
      <c r="K43" s="131"/>
      <c r="L43" s="130"/>
      <c r="M43" s="130"/>
      <c r="N43" s="130"/>
      <c r="O43" s="130"/>
      <c r="P43" s="130"/>
      <c r="Q43" s="130"/>
      <c r="R43" s="130"/>
      <c r="S43" s="130"/>
      <c r="T43" s="122" t="str">
        <f t="shared" si="2"/>
        <v/>
      </c>
      <c r="U43" s="123" t="str">
        <f t="shared" si="3"/>
        <v/>
      </c>
      <c r="V43" s="17"/>
      <c r="W43" s="17"/>
      <c r="X43" s="17"/>
      <c r="Y43" s="17"/>
      <c r="Z43" s="17"/>
      <c r="AA43" s="17"/>
      <c r="AB43" s="17"/>
      <c r="AC43" s="17"/>
      <c r="AD43" s="17"/>
      <c r="AE43" s="17"/>
      <c r="AF43" s="17"/>
    </row>
    <row r="44" ht="15.75" customHeight="1">
      <c r="A44" s="17"/>
      <c r="B44" s="135">
        <v>30.0</v>
      </c>
      <c r="C44" s="113" t="str">
        <f>IF('INPUT DATA'!L40="","",'INPUT DATA'!L40)</f>
        <v/>
      </c>
      <c r="D44" s="114"/>
      <c r="E44" s="115"/>
      <c r="F44" s="134" t="str">
        <f>IF('INPUT DATA'!M40="","",'INPUT DATA'!M40)</f>
        <v/>
      </c>
      <c r="G44" s="115"/>
      <c r="H44" s="128" t="str">
        <f>IF('INPUT DATA'!N40="","",'INPUT DATA'!N40)</f>
        <v/>
      </c>
      <c r="I44" s="129" t="str">
        <f t="shared" si="1"/>
        <v/>
      </c>
      <c r="J44" s="132"/>
      <c r="K44" s="131"/>
      <c r="L44" s="130"/>
      <c r="M44" s="130"/>
      <c r="N44" s="130"/>
      <c r="O44" s="130"/>
      <c r="P44" s="130"/>
      <c r="Q44" s="130"/>
      <c r="R44" s="130"/>
      <c r="S44" s="130"/>
      <c r="T44" s="122" t="str">
        <f t="shared" si="2"/>
        <v/>
      </c>
      <c r="U44" s="123" t="str">
        <f t="shared" si="3"/>
        <v/>
      </c>
      <c r="V44" s="17"/>
      <c r="W44" s="17"/>
      <c r="X44" s="17"/>
      <c r="Y44" s="17"/>
      <c r="Z44" s="17"/>
      <c r="AA44" s="17"/>
      <c r="AB44" s="17"/>
      <c r="AC44" s="17"/>
      <c r="AD44" s="17"/>
      <c r="AE44" s="17"/>
      <c r="AF44" s="17"/>
    </row>
    <row r="45" ht="15.75" customHeight="1">
      <c r="A45" s="17"/>
      <c r="B45" s="135">
        <v>31.0</v>
      </c>
      <c r="C45" s="113" t="str">
        <f>IF('INPUT DATA'!L41="","",'INPUT DATA'!L41)</f>
        <v/>
      </c>
      <c r="D45" s="114"/>
      <c r="E45" s="115"/>
      <c r="F45" s="134" t="str">
        <f>IF('INPUT DATA'!M41="","",'INPUT DATA'!M41)</f>
        <v/>
      </c>
      <c r="G45" s="115"/>
      <c r="H45" s="128" t="str">
        <f>IF('INPUT DATA'!N41="","",'INPUT DATA'!N41)</f>
        <v/>
      </c>
      <c r="I45" s="129" t="str">
        <f t="shared" si="1"/>
        <v/>
      </c>
      <c r="J45" s="132"/>
      <c r="K45" s="131"/>
      <c r="L45" s="130"/>
      <c r="M45" s="130"/>
      <c r="N45" s="130"/>
      <c r="O45" s="130"/>
      <c r="P45" s="130"/>
      <c r="Q45" s="130"/>
      <c r="R45" s="130"/>
      <c r="S45" s="130"/>
      <c r="T45" s="122" t="str">
        <f t="shared" si="2"/>
        <v/>
      </c>
      <c r="U45" s="123" t="str">
        <f t="shared" si="3"/>
        <v/>
      </c>
      <c r="V45" s="17"/>
      <c r="W45" s="17"/>
      <c r="X45" s="17"/>
      <c r="Y45" s="17"/>
      <c r="Z45" s="17"/>
      <c r="AA45" s="17"/>
      <c r="AB45" s="17"/>
      <c r="AC45" s="17"/>
      <c r="AD45" s="17"/>
      <c r="AE45" s="17"/>
      <c r="AF45" s="17"/>
    </row>
    <row r="46" ht="15.75" customHeight="1">
      <c r="A46" s="17"/>
      <c r="B46" s="135">
        <v>32.0</v>
      </c>
      <c r="C46" s="113" t="str">
        <f>IF('INPUT DATA'!L42="","",'INPUT DATA'!L42)</f>
        <v/>
      </c>
      <c r="D46" s="114"/>
      <c r="E46" s="115"/>
      <c r="F46" s="134" t="str">
        <f>IF('INPUT DATA'!M42="","",'INPUT DATA'!M42)</f>
        <v/>
      </c>
      <c r="G46" s="115"/>
      <c r="H46" s="128" t="str">
        <f>IF('INPUT DATA'!N42="","",'INPUT DATA'!N42)</f>
        <v/>
      </c>
      <c r="I46" s="129" t="str">
        <f t="shared" si="1"/>
        <v/>
      </c>
      <c r="J46" s="132"/>
      <c r="K46" s="131"/>
      <c r="L46" s="130"/>
      <c r="M46" s="130"/>
      <c r="N46" s="130"/>
      <c r="O46" s="130"/>
      <c r="P46" s="130"/>
      <c r="Q46" s="130"/>
      <c r="R46" s="130"/>
      <c r="S46" s="130"/>
      <c r="T46" s="122" t="str">
        <f t="shared" si="2"/>
        <v/>
      </c>
      <c r="U46" s="123" t="str">
        <f t="shared" si="3"/>
        <v/>
      </c>
      <c r="V46" s="17"/>
      <c r="W46" s="17"/>
      <c r="X46" s="17"/>
      <c r="Y46" s="17"/>
      <c r="Z46" s="17"/>
      <c r="AA46" s="17"/>
      <c r="AB46" s="17"/>
      <c r="AC46" s="17"/>
      <c r="AD46" s="17"/>
      <c r="AE46" s="17"/>
      <c r="AF46" s="17"/>
    </row>
    <row r="47" ht="15.75" customHeight="1">
      <c r="A47" s="17"/>
      <c r="B47" s="135">
        <v>33.0</v>
      </c>
      <c r="C47" s="113" t="str">
        <f>IF('INPUT DATA'!L43="","",'INPUT DATA'!L43)</f>
        <v/>
      </c>
      <c r="D47" s="114"/>
      <c r="E47" s="115"/>
      <c r="F47" s="134" t="str">
        <f>IF('INPUT DATA'!M43="","",'INPUT DATA'!M43)</f>
        <v/>
      </c>
      <c r="G47" s="115"/>
      <c r="H47" s="128" t="str">
        <f>IF('INPUT DATA'!N43="","",'INPUT DATA'!N43)</f>
        <v/>
      </c>
      <c r="I47" s="129" t="str">
        <f t="shared" si="1"/>
        <v/>
      </c>
      <c r="J47" s="132"/>
      <c r="K47" s="131"/>
      <c r="L47" s="130"/>
      <c r="M47" s="130"/>
      <c r="N47" s="130"/>
      <c r="O47" s="130"/>
      <c r="P47" s="130"/>
      <c r="Q47" s="130"/>
      <c r="R47" s="130"/>
      <c r="S47" s="130"/>
      <c r="T47" s="122" t="str">
        <f t="shared" si="2"/>
        <v/>
      </c>
      <c r="U47" s="123" t="str">
        <f t="shared" si="3"/>
        <v/>
      </c>
      <c r="V47" s="17"/>
      <c r="W47" s="17"/>
      <c r="X47" s="17"/>
      <c r="Y47" s="17"/>
      <c r="Z47" s="17"/>
      <c r="AA47" s="17"/>
      <c r="AB47" s="17"/>
      <c r="AC47" s="17"/>
      <c r="AD47" s="17"/>
      <c r="AE47" s="17"/>
      <c r="AF47" s="17"/>
    </row>
    <row r="48" ht="15.75" customHeight="1">
      <c r="A48" s="17"/>
      <c r="B48" s="135">
        <v>34.0</v>
      </c>
      <c r="C48" s="113" t="str">
        <f>IF('INPUT DATA'!L44="","",'INPUT DATA'!L44)</f>
        <v/>
      </c>
      <c r="D48" s="114"/>
      <c r="E48" s="115"/>
      <c r="F48" s="134" t="str">
        <f>IF('INPUT DATA'!M44="","",'INPUT DATA'!M44)</f>
        <v/>
      </c>
      <c r="G48" s="115"/>
      <c r="H48" s="128" t="str">
        <f>IF('INPUT DATA'!N44="","",'INPUT DATA'!N44)</f>
        <v/>
      </c>
      <c r="I48" s="129" t="str">
        <f t="shared" si="1"/>
        <v/>
      </c>
      <c r="J48" s="132"/>
      <c r="K48" s="131"/>
      <c r="L48" s="130"/>
      <c r="M48" s="130"/>
      <c r="N48" s="130"/>
      <c r="O48" s="130"/>
      <c r="P48" s="130"/>
      <c r="Q48" s="130"/>
      <c r="R48" s="130"/>
      <c r="S48" s="130"/>
      <c r="T48" s="122" t="str">
        <f t="shared" si="2"/>
        <v/>
      </c>
      <c r="U48" s="123" t="str">
        <f t="shared" si="3"/>
        <v/>
      </c>
      <c r="V48" s="17"/>
      <c r="W48" s="17"/>
      <c r="X48" s="17"/>
      <c r="Y48" s="17"/>
      <c r="Z48" s="17"/>
      <c r="AA48" s="17"/>
      <c r="AB48" s="17"/>
      <c r="AC48" s="17"/>
      <c r="AD48" s="17"/>
      <c r="AE48" s="17"/>
      <c r="AF48" s="17"/>
    </row>
    <row r="49" ht="15.75" customHeight="1">
      <c r="A49" s="17"/>
      <c r="B49" s="135">
        <v>35.0</v>
      </c>
      <c r="C49" s="113" t="str">
        <f>IF('INPUT DATA'!L45="","",'INPUT DATA'!L45)</f>
        <v/>
      </c>
      <c r="D49" s="114"/>
      <c r="E49" s="115"/>
      <c r="F49" s="134" t="str">
        <f>IF('INPUT DATA'!M45="","",'INPUT DATA'!M45)</f>
        <v/>
      </c>
      <c r="G49" s="115"/>
      <c r="H49" s="128" t="str">
        <f>IF('INPUT DATA'!N45="","",'INPUT DATA'!N45)</f>
        <v/>
      </c>
      <c r="I49" s="129" t="str">
        <f t="shared" si="1"/>
        <v/>
      </c>
      <c r="J49" s="132"/>
      <c r="K49" s="131"/>
      <c r="L49" s="130"/>
      <c r="M49" s="130"/>
      <c r="N49" s="130"/>
      <c r="O49" s="130"/>
      <c r="P49" s="130"/>
      <c r="Q49" s="130"/>
      <c r="R49" s="130"/>
      <c r="S49" s="130"/>
      <c r="T49" s="122" t="str">
        <f t="shared" si="2"/>
        <v/>
      </c>
      <c r="U49" s="123" t="str">
        <f t="shared" si="3"/>
        <v/>
      </c>
      <c r="V49" s="17"/>
      <c r="W49" s="17"/>
      <c r="X49" s="17"/>
      <c r="Y49" s="17"/>
      <c r="Z49" s="17"/>
      <c r="AA49" s="17"/>
      <c r="AB49" s="17"/>
      <c r="AC49" s="17"/>
      <c r="AD49" s="17"/>
      <c r="AE49" s="17"/>
      <c r="AF49" s="17"/>
    </row>
    <row r="50" ht="15.75" customHeight="1">
      <c r="A50" s="17"/>
      <c r="B50" s="135">
        <v>36.0</v>
      </c>
      <c r="C50" s="113" t="str">
        <f>IF('INPUT DATA'!L46="","",'INPUT DATA'!L46)</f>
        <v/>
      </c>
      <c r="D50" s="114"/>
      <c r="E50" s="115"/>
      <c r="F50" s="134" t="str">
        <f>IF('INPUT DATA'!M46="","",'INPUT DATA'!M46)</f>
        <v/>
      </c>
      <c r="G50" s="115"/>
      <c r="H50" s="128" t="str">
        <f>IF('INPUT DATA'!N46="","",'INPUT DATA'!N46)</f>
        <v/>
      </c>
      <c r="I50" s="129" t="str">
        <f t="shared" si="1"/>
        <v/>
      </c>
      <c r="J50" s="132"/>
      <c r="K50" s="131"/>
      <c r="L50" s="130"/>
      <c r="M50" s="130"/>
      <c r="N50" s="130"/>
      <c r="O50" s="130"/>
      <c r="P50" s="130"/>
      <c r="Q50" s="130"/>
      <c r="R50" s="130"/>
      <c r="S50" s="130"/>
      <c r="T50" s="122" t="str">
        <f t="shared" si="2"/>
        <v/>
      </c>
      <c r="U50" s="123" t="str">
        <f t="shared" si="3"/>
        <v/>
      </c>
      <c r="V50" s="17"/>
      <c r="W50" s="17"/>
      <c r="X50" s="17"/>
      <c r="Y50" s="17"/>
      <c r="Z50" s="17"/>
      <c r="AA50" s="17"/>
      <c r="AB50" s="17"/>
      <c r="AC50" s="17"/>
      <c r="AD50" s="17"/>
      <c r="AE50" s="17"/>
      <c r="AF50" s="17"/>
    </row>
    <row r="51" ht="15.75" customHeight="1">
      <c r="A51" s="17"/>
      <c r="B51" s="135">
        <v>37.0</v>
      </c>
      <c r="C51" s="113" t="str">
        <f>IF('INPUT DATA'!L47="","",'INPUT DATA'!L47)</f>
        <v/>
      </c>
      <c r="D51" s="114"/>
      <c r="E51" s="115"/>
      <c r="F51" s="134" t="str">
        <f>IF('INPUT DATA'!M47="","",'INPUT DATA'!M47)</f>
        <v/>
      </c>
      <c r="G51" s="115"/>
      <c r="H51" s="128" t="str">
        <f>IF('INPUT DATA'!N47="","",'INPUT DATA'!N47)</f>
        <v/>
      </c>
      <c r="I51" s="129" t="str">
        <f t="shared" si="1"/>
        <v/>
      </c>
      <c r="J51" s="132"/>
      <c r="K51" s="131"/>
      <c r="L51" s="130"/>
      <c r="M51" s="130"/>
      <c r="N51" s="130"/>
      <c r="O51" s="130"/>
      <c r="P51" s="130"/>
      <c r="Q51" s="130"/>
      <c r="R51" s="130"/>
      <c r="S51" s="130"/>
      <c r="T51" s="122" t="str">
        <f t="shared" si="2"/>
        <v/>
      </c>
      <c r="U51" s="123" t="str">
        <f t="shared" si="3"/>
        <v/>
      </c>
      <c r="V51" s="17"/>
      <c r="W51" s="17"/>
      <c r="X51" s="17"/>
      <c r="Y51" s="17"/>
      <c r="Z51" s="17"/>
      <c r="AA51" s="17"/>
      <c r="AB51" s="17"/>
      <c r="AC51" s="17"/>
      <c r="AD51" s="17"/>
      <c r="AE51" s="17"/>
      <c r="AF51" s="17"/>
    </row>
    <row r="52" ht="15.75" customHeight="1">
      <c r="A52" s="17"/>
      <c r="B52" s="135">
        <v>38.0</v>
      </c>
      <c r="C52" s="113" t="str">
        <f>IF('INPUT DATA'!L48="","",'INPUT DATA'!L48)</f>
        <v/>
      </c>
      <c r="D52" s="114"/>
      <c r="E52" s="115"/>
      <c r="F52" s="134" t="str">
        <f>IF('INPUT DATA'!M48="","",'INPUT DATA'!M48)</f>
        <v/>
      </c>
      <c r="G52" s="115"/>
      <c r="H52" s="128" t="str">
        <f>IF('INPUT DATA'!N48="","",'INPUT DATA'!N48)</f>
        <v/>
      </c>
      <c r="I52" s="129" t="str">
        <f t="shared" si="1"/>
        <v/>
      </c>
      <c r="J52" s="132"/>
      <c r="K52" s="131"/>
      <c r="L52" s="130"/>
      <c r="M52" s="130"/>
      <c r="N52" s="130"/>
      <c r="O52" s="130"/>
      <c r="P52" s="130"/>
      <c r="Q52" s="130"/>
      <c r="R52" s="130"/>
      <c r="S52" s="130"/>
      <c r="T52" s="122" t="str">
        <f t="shared" si="2"/>
        <v/>
      </c>
      <c r="U52" s="123" t="str">
        <f t="shared" si="3"/>
        <v/>
      </c>
      <c r="V52" s="17"/>
      <c r="W52" s="17"/>
      <c r="X52" s="17"/>
      <c r="Y52" s="17"/>
      <c r="Z52" s="17"/>
      <c r="AA52" s="17"/>
      <c r="AB52" s="17"/>
      <c r="AC52" s="17"/>
      <c r="AD52" s="17"/>
      <c r="AE52" s="17"/>
      <c r="AF52" s="17"/>
    </row>
    <row r="53" ht="15.75" customHeight="1">
      <c r="A53" s="17"/>
      <c r="B53" s="135">
        <v>39.0</v>
      </c>
      <c r="C53" s="113" t="str">
        <f>IF('INPUT DATA'!L49="","",'INPUT DATA'!L49)</f>
        <v/>
      </c>
      <c r="D53" s="114"/>
      <c r="E53" s="115"/>
      <c r="F53" s="134" t="str">
        <f>IF('INPUT DATA'!M49="","",'INPUT DATA'!M49)</f>
        <v/>
      </c>
      <c r="G53" s="115"/>
      <c r="H53" s="128" t="str">
        <f>IF('INPUT DATA'!N49="","",'INPUT DATA'!N49)</f>
        <v/>
      </c>
      <c r="I53" s="129" t="str">
        <f t="shared" si="1"/>
        <v/>
      </c>
      <c r="J53" s="132"/>
      <c r="K53" s="131"/>
      <c r="L53" s="130"/>
      <c r="M53" s="130"/>
      <c r="N53" s="130"/>
      <c r="O53" s="130"/>
      <c r="P53" s="130"/>
      <c r="Q53" s="130"/>
      <c r="R53" s="130"/>
      <c r="S53" s="130"/>
      <c r="T53" s="122" t="str">
        <f t="shared" si="2"/>
        <v/>
      </c>
      <c r="U53" s="123" t="str">
        <f t="shared" si="3"/>
        <v/>
      </c>
      <c r="V53" s="17"/>
      <c r="W53" s="17"/>
      <c r="X53" s="17"/>
      <c r="Y53" s="17"/>
      <c r="Z53" s="17"/>
      <c r="AA53" s="17"/>
      <c r="AB53" s="17"/>
      <c r="AC53" s="17"/>
      <c r="AD53" s="17"/>
      <c r="AE53" s="17"/>
      <c r="AF53" s="17"/>
    </row>
    <row r="54" ht="15.75" customHeight="1">
      <c r="A54" s="17"/>
      <c r="B54" s="135">
        <v>40.0</v>
      </c>
      <c r="C54" s="113" t="str">
        <f>IF('INPUT DATA'!L50="","",'INPUT DATA'!L50)</f>
        <v/>
      </c>
      <c r="D54" s="114"/>
      <c r="E54" s="115"/>
      <c r="F54" s="134" t="str">
        <f>IF('INPUT DATA'!M50="","",'INPUT DATA'!M50)</f>
        <v/>
      </c>
      <c r="G54" s="115"/>
      <c r="H54" s="128" t="str">
        <f>IF('INPUT DATA'!N50="","",'INPUT DATA'!N50)</f>
        <v/>
      </c>
      <c r="I54" s="129" t="str">
        <f t="shared" si="1"/>
        <v/>
      </c>
      <c r="J54" s="132"/>
      <c r="K54" s="131"/>
      <c r="L54" s="130"/>
      <c r="M54" s="130"/>
      <c r="N54" s="130"/>
      <c r="O54" s="130"/>
      <c r="P54" s="130"/>
      <c r="Q54" s="130"/>
      <c r="R54" s="130"/>
      <c r="S54" s="130"/>
      <c r="T54" s="122" t="str">
        <f t="shared" si="2"/>
        <v/>
      </c>
      <c r="U54" s="123" t="str">
        <f t="shared" si="3"/>
        <v/>
      </c>
      <c r="V54" s="17"/>
      <c r="W54" s="17"/>
      <c r="X54" s="17"/>
      <c r="Y54" s="17"/>
      <c r="Z54" s="17"/>
      <c r="AA54" s="17"/>
      <c r="AB54" s="17"/>
      <c r="AC54" s="17"/>
      <c r="AD54" s="17"/>
      <c r="AE54" s="17"/>
      <c r="AF54" s="17"/>
    </row>
    <row r="55" ht="15.75" customHeight="1">
      <c r="A55" s="17"/>
      <c r="B55" s="135">
        <v>41.0</v>
      </c>
      <c r="C55" s="113" t="str">
        <f>IF('INPUT DATA'!L51="","",'INPUT DATA'!L51)</f>
        <v/>
      </c>
      <c r="D55" s="114"/>
      <c r="E55" s="115"/>
      <c r="F55" s="134" t="str">
        <f>IF('INPUT DATA'!M51="","",'INPUT DATA'!M51)</f>
        <v/>
      </c>
      <c r="G55" s="115"/>
      <c r="H55" s="128" t="str">
        <f>IF('INPUT DATA'!N51="","",'INPUT DATA'!N51)</f>
        <v/>
      </c>
      <c r="I55" s="129" t="str">
        <f t="shared" si="1"/>
        <v/>
      </c>
      <c r="J55" s="132"/>
      <c r="K55" s="131"/>
      <c r="L55" s="130"/>
      <c r="M55" s="130"/>
      <c r="N55" s="130"/>
      <c r="O55" s="130"/>
      <c r="P55" s="130"/>
      <c r="Q55" s="130"/>
      <c r="R55" s="130"/>
      <c r="S55" s="130"/>
      <c r="T55" s="122" t="str">
        <f t="shared" si="2"/>
        <v/>
      </c>
      <c r="U55" s="123" t="str">
        <f t="shared" si="3"/>
        <v/>
      </c>
      <c r="V55" s="17"/>
      <c r="W55" s="17"/>
      <c r="X55" s="17"/>
      <c r="Y55" s="17"/>
      <c r="Z55" s="17"/>
      <c r="AA55" s="17"/>
      <c r="AB55" s="17"/>
      <c r="AC55" s="17"/>
      <c r="AD55" s="17"/>
      <c r="AE55" s="17"/>
      <c r="AF55" s="17"/>
    </row>
    <row r="56" ht="15.75" customHeight="1">
      <c r="A56" s="17"/>
      <c r="B56" s="135">
        <v>42.0</v>
      </c>
      <c r="C56" s="113" t="str">
        <f>IF('INPUT DATA'!L52="","",'INPUT DATA'!L52)</f>
        <v/>
      </c>
      <c r="D56" s="114"/>
      <c r="E56" s="115"/>
      <c r="F56" s="134" t="str">
        <f>IF('INPUT DATA'!M52="","",'INPUT DATA'!M52)</f>
        <v/>
      </c>
      <c r="G56" s="115"/>
      <c r="H56" s="128" t="str">
        <f>IF('INPUT DATA'!N52="","",'INPUT DATA'!N52)</f>
        <v/>
      </c>
      <c r="I56" s="129" t="str">
        <f t="shared" si="1"/>
        <v/>
      </c>
      <c r="J56" s="132"/>
      <c r="K56" s="131"/>
      <c r="L56" s="130"/>
      <c r="M56" s="130"/>
      <c r="N56" s="130"/>
      <c r="O56" s="130"/>
      <c r="P56" s="130"/>
      <c r="Q56" s="130"/>
      <c r="R56" s="130"/>
      <c r="S56" s="130"/>
      <c r="T56" s="122" t="str">
        <f t="shared" si="2"/>
        <v/>
      </c>
      <c r="U56" s="123" t="str">
        <f t="shared" si="3"/>
        <v/>
      </c>
      <c r="V56" s="17"/>
      <c r="W56" s="17"/>
      <c r="X56" s="17"/>
      <c r="Y56" s="17"/>
      <c r="Z56" s="17"/>
      <c r="AA56" s="17"/>
      <c r="AB56" s="17"/>
      <c r="AC56" s="17"/>
      <c r="AD56" s="17"/>
      <c r="AE56" s="17"/>
      <c r="AF56" s="17"/>
    </row>
    <row r="57" ht="15.75" customHeight="1">
      <c r="A57" s="17"/>
      <c r="B57" s="135">
        <v>43.0</v>
      </c>
      <c r="C57" s="113" t="str">
        <f>IF('INPUT DATA'!L53="","",'INPUT DATA'!L53)</f>
        <v/>
      </c>
      <c r="D57" s="114"/>
      <c r="E57" s="115"/>
      <c r="F57" s="134" t="str">
        <f>IF('INPUT DATA'!M53="","",'INPUT DATA'!M53)</f>
        <v/>
      </c>
      <c r="G57" s="115"/>
      <c r="H57" s="128" t="str">
        <f>IF('INPUT DATA'!N53="","",'INPUT DATA'!N53)</f>
        <v/>
      </c>
      <c r="I57" s="129" t="str">
        <f t="shared" si="1"/>
        <v/>
      </c>
      <c r="J57" s="132"/>
      <c r="K57" s="131"/>
      <c r="L57" s="130"/>
      <c r="M57" s="130"/>
      <c r="N57" s="130"/>
      <c r="O57" s="130"/>
      <c r="P57" s="130"/>
      <c r="Q57" s="130"/>
      <c r="R57" s="130"/>
      <c r="S57" s="130"/>
      <c r="T57" s="122" t="str">
        <f t="shared" si="2"/>
        <v/>
      </c>
      <c r="U57" s="123" t="str">
        <f t="shared" si="3"/>
        <v/>
      </c>
      <c r="V57" s="17"/>
      <c r="W57" s="17"/>
      <c r="X57" s="17"/>
      <c r="Y57" s="17"/>
      <c r="Z57" s="17"/>
      <c r="AA57" s="17"/>
      <c r="AB57" s="17"/>
      <c r="AC57" s="17"/>
      <c r="AD57" s="17"/>
      <c r="AE57" s="17"/>
      <c r="AF57" s="17"/>
    </row>
    <row r="58" ht="15.75" customHeight="1">
      <c r="A58" s="17"/>
      <c r="B58" s="135">
        <v>44.0</v>
      </c>
      <c r="C58" s="113" t="str">
        <f>IF('INPUT DATA'!L54="","",'INPUT DATA'!L54)</f>
        <v/>
      </c>
      <c r="D58" s="114"/>
      <c r="E58" s="115"/>
      <c r="F58" s="134" t="str">
        <f>IF('INPUT DATA'!M54="","",'INPUT DATA'!M54)</f>
        <v/>
      </c>
      <c r="G58" s="115"/>
      <c r="H58" s="128" t="str">
        <f>IF('INPUT DATA'!N54="","",'INPUT DATA'!N54)</f>
        <v/>
      </c>
      <c r="I58" s="129" t="str">
        <f t="shared" si="1"/>
        <v/>
      </c>
      <c r="J58" s="132"/>
      <c r="K58" s="131"/>
      <c r="L58" s="130"/>
      <c r="M58" s="130"/>
      <c r="N58" s="130"/>
      <c r="O58" s="130"/>
      <c r="P58" s="130"/>
      <c r="Q58" s="130"/>
      <c r="R58" s="130"/>
      <c r="S58" s="130"/>
      <c r="T58" s="122" t="str">
        <f t="shared" si="2"/>
        <v/>
      </c>
      <c r="U58" s="123" t="str">
        <f t="shared" si="3"/>
        <v/>
      </c>
      <c r="V58" s="17"/>
      <c r="W58" s="17"/>
      <c r="X58" s="17"/>
      <c r="Y58" s="17"/>
      <c r="Z58" s="17"/>
      <c r="AA58" s="17"/>
      <c r="AB58" s="17"/>
      <c r="AC58" s="17"/>
      <c r="AD58" s="17"/>
      <c r="AE58" s="17"/>
      <c r="AF58" s="17"/>
    </row>
    <row r="59" ht="15.75" customHeight="1">
      <c r="A59" s="17"/>
      <c r="B59" s="135">
        <v>45.0</v>
      </c>
      <c r="C59" s="113" t="str">
        <f>IF('INPUT DATA'!L55="","",'INPUT DATA'!L55)</f>
        <v/>
      </c>
      <c r="D59" s="114"/>
      <c r="E59" s="115"/>
      <c r="F59" s="134" t="str">
        <f>IF('INPUT DATA'!M55="","",'INPUT DATA'!M55)</f>
        <v/>
      </c>
      <c r="G59" s="115"/>
      <c r="H59" s="128" t="str">
        <f>IF('INPUT DATA'!N55="","",'INPUT DATA'!N55)</f>
        <v/>
      </c>
      <c r="I59" s="129" t="str">
        <f t="shared" si="1"/>
        <v/>
      </c>
      <c r="J59" s="132"/>
      <c r="K59" s="136"/>
      <c r="L59" s="137"/>
      <c r="M59" s="137"/>
      <c r="N59" s="137"/>
      <c r="O59" s="137"/>
      <c r="P59" s="137"/>
      <c r="Q59" s="137"/>
      <c r="R59" s="137"/>
      <c r="S59" s="137"/>
      <c r="T59" s="122" t="str">
        <f t="shared" si="2"/>
        <v/>
      </c>
      <c r="U59" s="123" t="str">
        <f t="shared" si="3"/>
        <v/>
      </c>
      <c r="V59" s="17"/>
      <c r="W59" s="17"/>
      <c r="X59" s="17"/>
      <c r="Y59" s="17"/>
      <c r="Z59" s="17"/>
      <c r="AA59" s="17"/>
      <c r="AB59" s="17"/>
      <c r="AC59" s="17"/>
      <c r="AD59" s="17"/>
      <c r="AE59" s="17"/>
      <c r="AF59" s="17"/>
    </row>
    <row r="60" ht="15.75" customHeight="1">
      <c r="A60" s="17"/>
      <c r="B60" s="135">
        <v>46.0</v>
      </c>
      <c r="C60" s="113" t="str">
        <f>IF('INPUT DATA'!L56="","",'INPUT DATA'!L56)</f>
        <v/>
      </c>
      <c r="D60" s="114"/>
      <c r="E60" s="115"/>
      <c r="F60" s="134" t="str">
        <f>IF('INPUT DATA'!M56="","",'INPUT DATA'!M56)</f>
        <v/>
      </c>
      <c r="G60" s="115"/>
      <c r="H60" s="128" t="str">
        <f>IF('INPUT DATA'!N56="","",'INPUT DATA'!N56)</f>
        <v/>
      </c>
      <c r="I60" s="129" t="str">
        <f t="shared" si="1"/>
        <v/>
      </c>
      <c r="J60" s="132"/>
      <c r="K60" s="131"/>
      <c r="L60" s="130"/>
      <c r="M60" s="130"/>
      <c r="N60" s="130"/>
      <c r="O60" s="130"/>
      <c r="P60" s="130"/>
      <c r="Q60" s="130"/>
      <c r="R60" s="130"/>
      <c r="S60" s="130"/>
      <c r="T60" s="122" t="str">
        <f t="shared" si="2"/>
        <v/>
      </c>
      <c r="U60" s="123" t="str">
        <f t="shared" si="3"/>
        <v/>
      </c>
      <c r="V60" s="17"/>
      <c r="W60" s="17"/>
      <c r="X60" s="17"/>
      <c r="Y60" s="17"/>
      <c r="Z60" s="17"/>
      <c r="AA60" s="17"/>
      <c r="AB60" s="17"/>
      <c r="AC60" s="17"/>
      <c r="AD60" s="17"/>
      <c r="AE60" s="17"/>
      <c r="AF60" s="17"/>
    </row>
    <row r="61" ht="15.75" customHeight="1">
      <c r="A61" s="17"/>
      <c r="B61" s="135">
        <v>47.0</v>
      </c>
      <c r="C61" s="113" t="str">
        <f>IF('INPUT DATA'!L57="","",'INPUT DATA'!L57)</f>
        <v/>
      </c>
      <c r="D61" s="114"/>
      <c r="E61" s="115"/>
      <c r="F61" s="134" t="str">
        <f>IF('INPUT DATA'!M57="","",'INPUT DATA'!M57)</f>
        <v/>
      </c>
      <c r="G61" s="115"/>
      <c r="H61" s="128" t="str">
        <f>IF('INPUT DATA'!N57="","",'INPUT DATA'!N57)</f>
        <v/>
      </c>
      <c r="I61" s="129" t="str">
        <f t="shared" si="1"/>
        <v/>
      </c>
      <c r="J61" s="132"/>
      <c r="K61" s="131"/>
      <c r="L61" s="130"/>
      <c r="M61" s="130"/>
      <c r="N61" s="130"/>
      <c r="O61" s="130"/>
      <c r="P61" s="130"/>
      <c r="Q61" s="130"/>
      <c r="R61" s="130"/>
      <c r="S61" s="130"/>
      <c r="T61" s="122" t="str">
        <f t="shared" si="2"/>
        <v/>
      </c>
      <c r="U61" s="123" t="str">
        <f t="shared" si="3"/>
        <v/>
      </c>
      <c r="V61" s="17"/>
      <c r="W61" s="17"/>
      <c r="X61" s="17"/>
      <c r="Y61" s="17"/>
      <c r="Z61" s="17"/>
      <c r="AA61" s="17"/>
      <c r="AB61" s="17"/>
      <c r="AC61" s="17"/>
      <c r="AD61" s="17"/>
      <c r="AE61" s="17"/>
      <c r="AF61" s="17"/>
    </row>
    <row r="62" ht="15.75" customHeight="1">
      <c r="A62" s="17"/>
      <c r="B62" s="135">
        <v>48.0</v>
      </c>
      <c r="C62" s="113" t="str">
        <f>IF('INPUT DATA'!L58="","",'INPUT DATA'!L58)</f>
        <v/>
      </c>
      <c r="D62" s="114"/>
      <c r="E62" s="115"/>
      <c r="F62" s="134" t="str">
        <f>IF('INPUT DATA'!M58="","",'INPUT DATA'!M58)</f>
        <v/>
      </c>
      <c r="G62" s="115"/>
      <c r="H62" s="128" t="str">
        <f>IF('INPUT DATA'!N58="","",'INPUT DATA'!N58)</f>
        <v/>
      </c>
      <c r="I62" s="129" t="str">
        <f t="shared" si="1"/>
        <v/>
      </c>
      <c r="J62" s="132"/>
      <c r="K62" s="131"/>
      <c r="L62" s="130"/>
      <c r="M62" s="130"/>
      <c r="N62" s="130"/>
      <c r="O62" s="130"/>
      <c r="P62" s="130"/>
      <c r="Q62" s="130"/>
      <c r="R62" s="130"/>
      <c r="S62" s="130"/>
      <c r="T62" s="122" t="str">
        <f t="shared" si="2"/>
        <v/>
      </c>
      <c r="U62" s="123" t="str">
        <f t="shared" si="3"/>
        <v/>
      </c>
      <c r="V62" s="17"/>
      <c r="W62" s="17"/>
      <c r="X62" s="17"/>
      <c r="Y62" s="17"/>
      <c r="Z62" s="17"/>
      <c r="AA62" s="17"/>
      <c r="AB62" s="17"/>
      <c r="AC62" s="17"/>
      <c r="AD62" s="17"/>
      <c r="AE62" s="17"/>
      <c r="AF62" s="17"/>
    </row>
    <row r="63" ht="15.75" customHeight="1">
      <c r="A63" s="17"/>
      <c r="B63" s="135">
        <v>49.0</v>
      </c>
      <c r="C63" s="113" t="str">
        <f>IF('INPUT DATA'!L59="","",'INPUT DATA'!L59)</f>
        <v/>
      </c>
      <c r="D63" s="114"/>
      <c r="E63" s="115"/>
      <c r="F63" s="134" t="str">
        <f>IF('INPUT DATA'!M59="","",'INPUT DATA'!M59)</f>
        <v/>
      </c>
      <c r="G63" s="115"/>
      <c r="H63" s="128" t="str">
        <f>IF('INPUT DATA'!N59="","",'INPUT DATA'!N59)</f>
        <v/>
      </c>
      <c r="I63" s="129" t="str">
        <f t="shared" si="1"/>
        <v/>
      </c>
      <c r="J63" s="132"/>
      <c r="K63" s="131"/>
      <c r="L63" s="130"/>
      <c r="M63" s="130"/>
      <c r="N63" s="130"/>
      <c r="O63" s="130"/>
      <c r="P63" s="130"/>
      <c r="Q63" s="130"/>
      <c r="R63" s="130"/>
      <c r="S63" s="130"/>
      <c r="T63" s="122" t="str">
        <f t="shared" si="2"/>
        <v/>
      </c>
      <c r="U63" s="123" t="str">
        <f t="shared" si="3"/>
        <v/>
      </c>
      <c r="V63" s="17"/>
      <c r="W63" s="17"/>
      <c r="X63" s="17"/>
      <c r="Y63" s="17"/>
      <c r="Z63" s="17"/>
      <c r="AA63" s="17"/>
      <c r="AB63" s="17"/>
      <c r="AC63" s="17"/>
      <c r="AD63" s="17"/>
      <c r="AE63" s="17"/>
      <c r="AF63" s="17"/>
    </row>
    <row r="64" ht="15.75" customHeight="1">
      <c r="A64" s="17"/>
      <c r="B64" s="138">
        <v>50.0</v>
      </c>
      <c r="C64" s="154" t="str">
        <f>IF('INPUT DATA'!L60="","",'INPUT DATA'!L60)</f>
        <v/>
      </c>
      <c r="D64" s="155"/>
      <c r="E64" s="156"/>
      <c r="F64" s="160" t="str">
        <f>IF('INPUT DATA'!M60="","",'INPUT DATA'!M60)</f>
        <v/>
      </c>
      <c r="G64" s="156"/>
      <c r="H64" s="164" t="str">
        <f>IF('INPUT DATA'!N60="","",'INPUT DATA'!N60)</f>
        <v/>
      </c>
      <c r="I64" s="129" t="str">
        <f t="shared" si="1"/>
        <v/>
      </c>
      <c r="J64" s="144"/>
      <c r="K64" s="145"/>
      <c r="L64" s="146"/>
      <c r="M64" s="146"/>
      <c r="N64" s="146"/>
      <c r="O64" s="146"/>
      <c r="P64" s="146"/>
      <c r="Q64" s="146"/>
      <c r="R64" s="146"/>
      <c r="S64" s="146"/>
      <c r="T64" s="122" t="str">
        <f t="shared" si="2"/>
        <v/>
      </c>
      <c r="U64" s="123" t="str">
        <f t="shared" si="3"/>
        <v/>
      </c>
      <c r="V64" s="17"/>
      <c r="W64" s="17"/>
      <c r="X64" s="17"/>
      <c r="Y64" s="17"/>
      <c r="Z64" s="17"/>
      <c r="AA64" s="17"/>
      <c r="AB64" s="17"/>
      <c r="AC64" s="17"/>
      <c r="AD64" s="17"/>
      <c r="AE64" s="17"/>
      <c r="AF64" s="17"/>
    </row>
    <row r="65" ht="15.75" customHeight="1">
      <c r="A65" s="17"/>
      <c r="B65" s="147" t="s">
        <v>12</v>
      </c>
      <c r="C65" s="148"/>
      <c r="D65" s="148"/>
      <c r="E65" s="148"/>
      <c r="F65" s="148"/>
      <c r="G65" s="148"/>
      <c r="H65" s="148"/>
      <c r="I65" s="150"/>
      <c r="J65" s="151"/>
      <c r="K65" s="150"/>
      <c r="L65" s="150"/>
      <c r="M65" s="150"/>
      <c r="N65" s="150"/>
      <c r="O65" s="150"/>
      <c r="P65" s="150"/>
      <c r="Q65" s="150"/>
      <c r="R65" s="150"/>
      <c r="S65" s="150"/>
      <c r="T65" s="152"/>
      <c r="U65" s="153"/>
      <c r="V65" s="17"/>
      <c r="W65" s="17"/>
      <c r="X65" s="17"/>
      <c r="Y65" s="17"/>
      <c r="Z65" s="17"/>
      <c r="AA65" s="17"/>
      <c r="AB65" s="17"/>
      <c r="AC65" s="17"/>
      <c r="AD65" s="17"/>
      <c r="AE65" s="17"/>
      <c r="AF65" s="17"/>
    </row>
    <row r="66" ht="15.75" customHeight="1">
      <c r="A66" s="17"/>
      <c r="B66" s="112">
        <v>1.0</v>
      </c>
      <c r="C66" s="167" t="str">
        <f>IF('INPUT DATA'!Q11="","",'INPUT DATA'!Q11)</f>
        <v/>
      </c>
      <c r="D66" s="168"/>
      <c r="E66" s="169"/>
      <c r="F66" s="116" t="str">
        <f>'INPUT DATA'!R11</f>
        <v/>
      </c>
      <c r="G66" s="115"/>
      <c r="H66" s="171" t="str">
        <f>IF('INPUT DATA'!S11="","",'INPUT DATA'!S11)</f>
        <v/>
      </c>
      <c r="I66" s="118" t="str">
        <f t="shared" ref="I66:I115" si="4">IF(H66="","",DATEDIF(H66,TODAY(),"Y"))</f>
        <v/>
      </c>
      <c r="J66" s="120" t="s">
        <v>58</v>
      </c>
      <c r="K66" s="121">
        <v>90.0</v>
      </c>
      <c r="L66" s="119">
        <v>91.0</v>
      </c>
      <c r="M66" s="119">
        <v>89.0</v>
      </c>
      <c r="N66" s="119">
        <v>90.0</v>
      </c>
      <c r="O66" s="119">
        <v>91.0</v>
      </c>
      <c r="P66" s="166"/>
      <c r="Q66" s="166"/>
      <c r="R66" s="166"/>
      <c r="S66" s="166">
        <v>92.0</v>
      </c>
      <c r="T66" s="175">
        <f t="shared" ref="T66:T115" si="5">IF(COUNT(K66:S66)=0,"",ROUND((K66+L66+M66+N66+O66+S66)/6,0))</f>
        <v>91</v>
      </c>
      <c r="U66" s="123">
        <f t="shared" ref="U66:U115" si="6">IF(T66="","",_xlfn.RANK.AVG(T66,$T$15:$T$115))</f>
        <v>2.5</v>
      </c>
      <c r="V66" s="17"/>
      <c r="W66" s="17"/>
      <c r="X66" s="17"/>
      <c r="Y66" s="17"/>
      <c r="Z66" s="17"/>
      <c r="AA66" s="17"/>
      <c r="AB66" s="17"/>
      <c r="AC66" s="17"/>
      <c r="AD66" s="17"/>
      <c r="AE66" s="17"/>
      <c r="AF66" s="17"/>
    </row>
    <row r="67" ht="15.75" customHeight="1">
      <c r="A67" s="17"/>
      <c r="B67" s="125">
        <v>2.0</v>
      </c>
      <c r="C67" s="170" t="str">
        <f>IF('INPUT DATA'!Q12="","",'INPUT DATA'!Q12)</f>
        <v/>
      </c>
      <c r="D67" s="172"/>
      <c r="E67" s="163"/>
      <c r="F67" s="116" t="str">
        <f>'INPUT DATA'!R12</f>
        <v/>
      </c>
      <c r="G67" s="115"/>
      <c r="H67" s="176" t="str">
        <f>IF('INPUT DATA'!S12="","",'INPUT DATA'!S12)</f>
        <v/>
      </c>
      <c r="I67" s="129" t="str">
        <f t="shared" si="4"/>
        <v/>
      </c>
      <c r="J67" s="132" t="s">
        <v>58</v>
      </c>
      <c r="K67" s="131">
        <v>92.0</v>
      </c>
      <c r="L67" s="130">
        <v>93.0</v>
      </c>
      <c r="M67" s="130">
        <v>89.0</v>
      </c>
      <c r="N67" s="130">
        <v>90.0</v>
      </c>
      <c r="O67" s="130">
        <v>90.0</v>
      </c>
      <c r="P67" s="174"/>
      <c r="Q67" s="174"/>
      <c r="R67" s="174"/>
      <c r="S67" s="174">
        <v>90.0</v>
      </c>
      <c r="T67" s="122">
        <f t="shared" si="5"/>
        <v>91</v>
      </c>
      <c r="U67" s="123">
        <f t="shared" si="6"/>
        <v>2.5</v>
      </c>
      <c r="V67" s="17"/>
      <c r="W67" s="17"/>
      <c r="X67" s="17"/>
      <c r="Y67" s="17"/>
      <c r="Z67" s="17"/>
      <c r="AA67" s="17"/>
      <c r="AB67" s="17"/>
      <c r="AC67" s="17"/>
      <c r="AD67" s="17"/>
      <c r="AE67" s="17"/>
      <c r="AF67" s="17"/>
    </row>
    <row r="68" ht="15.75" customHeight="1">
      <c r="A68" s="17"/>
      <c r="B68" s="125">
        <v>3.0</v>
      </c>
      <c r="C68" s="170" t="str">
        <f>IF('INPUT DATA'!Q13="","",'INPUT DATA'!Q13)</f>
        <v/>
      </c>
      <c r="D68" s="172"/>
      <c r="E68" s="163"/>
      <c r="F68" s="116" t="str">
        <f>'INPUT DATA'!R13</f>
        <v/>
      </c>
      <c r="G68" s="115"/>
      <c r="H68" s="176" t="str">
        <f>IF('INPUT DATA'!S13="","",'INPUT DATA'!S13)</f>
        <v/>
      </c>
      <c r="I68" s="129" t="str">
        <f t="shared" si="4"/>
        <v/>
      </c>
      <c r="J68" s="132" t="s">
        <v>58</v>
      </c>
      <c r="K68" s="131">
        <v>91.0</v>
      </c>
      <c r="L68" s="130">
        <v>92.0</v>
      </c>
      <c r="M68" s="130">
        <v>91.0</v>
      </c>
      <c r="N68" s="130">
        <v>90.0</v>
      </c>
      <c r="O68" s="130">
        <v>92.0</v>
      </c>
      <c r="P68" s="174"/>
      <c r="Q68" s="174"/>
      <c r="R68" s="174"/>
      <c r="S68" s="174">
        <v>89.0</v>
      </c>
      <c r="T68" s="122">
        <f t="shared" si="5"/>
        <v>91</v>
      </c>
      <c r="U68" s="123">
        <f t="shared" si="6"/>
        <v>2.5</v>
      </c>
      <c r="V68" s="17"/>
      <c r="W68" s="17"/>
      <c r="X68" s="17"/>
      <c r="Y68" s="17"/>
      <c r="Z68" s="17"/>
      <c r="AA68" s="17"/>
      <c r="AB68" s="17"/>
      <c r="AC68" s="17"/>
      <c r="AD68" s="17"/>
      <c r="AE68" s="17"/>
      <c r="AF68" s="17"/>
    </row>
    <row r="69" ht="15.75" customHeight="1">
      <c r="A69" s="17"/>
      <c r="B69" s="125">
        <v>4.0</v>
      </c>
      <c r="C69" s="170" t="str">
        <f>IF('INPUT DATA'!Q14="","",'INPUT DATA'!Q14)</f>
        <v/>
      </c>
      <c r="D69" s="172"/>
      <c r="E69" s="163"/>
      <c r="F69" s="177" t="str">
        <f>IF('INPUT DATA'!T14="","",'INPUT DATA'!T14)</f>
        <v/>
      </c>
      <c r="G69" s="163"/>
      <c r="H69" s="176" t="str">
        <f>IF('INPUT DATA'!S14="","",'INPUT DATA'!S14)</f>
        <v/>
      </c>
      <c r="I69" s="129" t="str">
        <f t="shared" si="4"/>
        <v/>
      </c>
      <c r="J69" s="132"/>
      <c r="K69" s="131"/>
      <c r="L69" s="130"/>
      <c r="M69" s="130"/>
      <c r="N69" s="130"/>
      <c r="O69" s="130"/>
      <c r="P69" s="174"/>
      <c r="Q69" s="174"/>
      <c r="R69" s="174"/>
      <c r="S69" s="174"/>
      <c r="T69" s="122" t="str">
        <f t="shared" si="5"/>
        <v/>
      </c>
      <c r="U69" s="123" t="str">
        <f t="shared" si="6"/>
        <v/>
      </c>
      <c r="V69" s="17"/>
      <c r="W69" s="17"/>
      <c r="X69" s="17"/>
      <c r="Y69" s="17"/>
      <c r="Z69" s="17"/>
      <c r="AA69" s="17"/>
      <c r="AB69" s="17"/>
      <c r="AC69" s="17"/>
      <c r="AD69" s="17"/>
      <c r="AE69" s="17"/>
      <c r="AF69" s="17"/>
    </row>
    <row r="70" ht="15.75" customHeight="1">
      <c r="A70" s="17"/>
      <c r="B70" s="125">
        <v>5.0</v>
      </c>
      <c r="C70" s="170" t="str">
        <f>IF('INPUT DATA'!Q15="","",'INPUT DATA'!Q15)</f>
        <v/>
      </c>
      <c r="D70" s="172"/>
      <c r="E70" s="163"/>
      <c r="F70" s="177" t="str">
        <f>IF('INPUT DATA'!T15="","",'INPUT DATA'!T15)</f>
        <v/>
      </c>
      <c r="G70" s="163"/>
      <c r="H70" s="176" t="str">
        <f>IF('INPUT DATA'!S15="","",'INPUT DATA'!S15)</f>
        <v/>
      </c>
      <c r="I70" s="129" t="str">
        <f t="shared" si="4"/>
        <v/>
      </c>
      <c r="J70" s="132"/>
      <c r="K70" s="131"/>
      <c r="L70" s="130"/>
      <c r="M70" s="130"/>
      <c r="N70" s="130"/>
      <c r="O70" s="130"/>
      <c r="P70" s="174"/>
      <c r="Q70" s="174"/>
      <c r="R70" s="174"/>
      <c r="S70" s="174"/>
      <c r="T70" s="122" t="str">
        <f t="shared" si="5"/>
        <v/>
      </c>
      <c r="U70" s="123" t="str">
        <f t="shared" si="6"/>
        <v/>
      </c>
      <c r="V70" s="17"/>
      <c r="W70" s="17"/>
      <c r="X70" s="17"/>
      <c r="Y70" s="17"/>
      <c r="Z70" s="17"/>
      <c r="AA70" s="17"/>
      <c r="AB70" s="17"/>
      <c r="AC70" s="17"/>
      <c r="AD70" s="17"/>
      <c r="AE70" s="17"/>
      <c r="AF70" s="17"/>
    </row>
    <row r="71" ht="15.75" customHeight="1">
      <c r="A71" s="17"/>
      <c r="B71" s="125">
        <v>6.0</v>
      </c>
      <c r="C71" s="170" t="str">
        <f>IF('INPUT DATA'!Q16="","",'INPUT DATA'!Q16)</f>
        <v/>
      </c>
      <c r="D71" s="172"/>
      <c r="E71" s="163"/>
      <c r="F71" s="177" t="str">
        <f>IF('INPUT DATA'!T16="","",'INPUT DATA'!T16)</f>
        <v/>
      </c>
      <c r="G71" s="163"/>
      <c r="H71" s="176" t="str">
        <f>IF('INPUT DATA'!S16="","",'INPUT DATA'!S16)</f>
        <v/>
      </c>
      <c r="I71" s="129" t="str">
        <f t="shared" si="4"/>
        <v/>
      </c>
      <c r="J71" s="132"/>
      <c r="K71" s="131"/>
      <c r="L71" s="130"/>
      <c r="M71" s="130"/>
      <c r="N71" s="130"/>
      <c r="O71" s="130"/>
      <c r="P71" s="174"/>
      <c r="Q71" s="174"/>
      <c r="R71" s="174"/>
      <c r="S71" s="174"/>
      <c r="T71" s="122" t="str">
        <f t="shared" si="5"/>
        <v/>
      </c>
      <c r="U71" s="123" t="str">
        <f t="shared" si="6"/>
        <v/>
      </c>
      <c r="V71" s="17"/>
      <c r="W71" s="17"/>
      <c r="X71" s="17"/>
      <c r="Y71" s="17"/>
      <c r="Z71" s="17"/>
      <c r="AA71" s="17"/>
      <c r="AB71" s="17"/>
      <c r="AC71" s="17"/>
      <c r="AD71" s="17"/>
      <c r="AE71" s="17"/>
      <c r="AF71" s="17"/>
    </row>
    <row r="72" ht="15.75" customHeight="1">
      <c r="A72" s="17"/>
      <c r="B72" s="125">
        <v>7.0</v>
      </c>
      <c r="C72" s="170" t="str">
        <f>IF('INPUT DATA'!Q17="","",'INPUT DATA'!Q17)</f>
        <v/>
      </c>
      <c r="D72" s="172"/>
      <c r="E72" s="163"/>
      <c r="F72" s="177" t="str">
        <f>IF('INPUT DATA'!T17="","",'INPUT DATA'!T17)</f>
        <v/>
      </c>
      <c r="G72" s="163"/>
      <c r="H72" s="176" t="str">
        <f>IF('INPUT DATA'!S17="","",'INPUT DATA'!S17)</f>
        <v/>
      </c>
      <c r="I72" s="129" t="str">
        <f t="shared" si="4"/>
        <v/>
      </c>
      <c r="J72" s="132"/>
      <c r="K72" s="131"/>
      <c r="L72" s="130"/>
      <c r="M72" s="130"/>
      <c r="N72" s="130"/>
      <c r="O72" s="130"/>
      <c r="P72" s="174"/>
      <c r="Q72" s="174"/>
      <c r="R72" s="174"/>
      <c r="S72" s="174"/>
      <c r="T72" s="122" t="str">
        <f t="shared" si="5"/>
        <v/>
      </c>
      <c r="U72" s="123" t="str">
        <f t="shared" si="6"/>
        <v/>
      </c>
      <c r="V72" s="17"/>
      <c r="W72" s="17"/>
      <c r="X72" s="17"/>
      <c r="Y72" s="17"/>
      <c r="Z72" s="17"/>
      <c r="AA72" s="17"/>
      <c r="AB72" s="17"/>
      <c r="AC72" s="17"/>
      <c r="AD72" s="17"/>
      <c r="AE72" s="17"/>
      <c r="AF72" s="17"/>
    </row>
    <row r="73" ht="15.75" customHeight="1">
      <c r="A73" s="17"/>
      <c r="B73" s="125">
        <v>8.0</v>
      </c>
      <c r="C73" s="170" t="str">
        <f>IF('INPUT DATA'!Q18="","",'INPUT DATA'!Q18)</f>
        <v/>
      </c>
      <c r="D73" s="172"/>
      <c r="E73" s="163"/>
      <c r="F73" s="177" t="str">
        <f>IF('INPUT DATA'!T18="","",'INPUT DATA'!T18)</f>
        <v/>
      </c>
      <c r="G73" s="163"/>
      <c r="H73" s="176" t="str">
        <f>IF('INPUT DATA'!S18="","",'INPUT DATA'!S18)</f>
        <v/>
      </c>
      <c r="I73" s="129" t="str">
        <f t="shared" si="4"/>
        <v/>
      </c>
      <c r="J73" s="132"/>
      <c r="K73" s="131"/>
      <c r="L73" s="130"/>
      <c r="M73" s="130"/>
      <c r="N73" s="130"/>
      <c r="O73" s="130"/>
      <c r="P73" s="174"/>
      <c r="Q73" s="174"/>
      <c r="R73" s="174"/>
      <c r="S73" s="174"/>
      <c r="T73" s="122" t="str">
        <f t="shared" si="5"/>
        <v/>
      </c>
      <c r="U73" s="123" t="str">
        <f t="shared" si="6"/>
        <v/>
      </c>
      <c r="V73" s="17"/>
      <c r="W73" s="17"/>
      <c r="X73" s="17"/>
      <c r="Y73" s="17"/>
      <c r="Z73" s="17"/>
      <c r="AA73" s="17"/>
      <c r="AB73" s="17"/>
      <c r="AC73" s="17"/>
      <c r="AD73" s="17"/>
      <c r="AE73" s="17"/>
      <c r="AF73" s="17"/>
    </row>
    <row r="74" ht="15.75" customHeight="1">
      <c r="A74" s="17"/>
      <c r="B74" s="125">
        <v>9.0</v>
      </c>
      <c r="C74" s="170" t="str">
        <f>IF('INPUT DATA'!Q19="","",'INPUT DATA'!Q19)</f>
        <v/>
      </c>
      <c r="D74" s="172"/>
      <c r="E74" s="163"/>
      <c r="F74" s="177" t="str">
        <f>IF('INPUT DATA'!T19="","",'INPUT DATA'!T19)</f>
        <v/>
      </c>
      <c r="G74" s="163"/>
      <c r="H74" s="176" t="str">
        <f>IF('INPUT DATA'!S19="","",'INPUT DATA'!S19)</f>
        <v/>
      </c>
      <c r="I74" s="129" t="str">
        <f t="shared" si="4"/>
        <v/>
      </c>
      <c r="J74" s="132"/>
      <c r="K74" s="131"/>
      <c r="L74" s="130"/>
      <c r="M74" s="130"/>
      <c r="N74" s="130"/>
      <c r="O74" s="130"/>
      <c r="P74" s="174"/>
      <c r="Q74" s="174"/>
      <c r="R74" s="174"/>
      <c r="S74" s="174"/>
      <c r="T74" s="122" t="str">
        <f t="shared" si="5"/>
        <v/>
      </c>
      <c r="U74" s="123" t="str">
        <f t="shared" si="6"/>
        <v/>
      </c>
      <c r="V74" s="17"/>
      <c r="W74" s="17"/>
      <c r="X74" s="17"/>
      <c r="Y74" s="17"/>
      <c r="Z74" s="17"/>
      <c r="AA74" s="17"/>
      <c r="AB74" s="17"/>
      <c r="AC74" s="17"/>
      <c r="AD74" s="17"/>
      <c r="AE74" s="17"/>
      <c r="AF74" s="17"/>
    </row>
    <row r="75" ht="15.75" customHeight="1">
      <c r="A75" s="17"/>
      <c r="B75" s="125">
        <v>10.0</v>
      </c>
      <c r="C75" s="170" t="str">
        <f>IF('INPUT DATA'!Q20="","",'INPUT DATA'!Q20)</f>
        <v/>
      </c>
      <c r="D75" s="172"/>
      <c r="E75" s="163"/>
      <c r="F75" s="177" t="str">
        <f>IF('INPUT DATA'!T20="","",'INPUT DATA'!T20)</f>
        <v/>
      </c>
      <c r="G75" s="163"/>
      <c r="H75" s="176" t="str">
        <f>IF('INPUT DATA'!S20="","",'INPUT DATA'!S20)</f>
        <v/>
      </c>
      <c r="I75" s="129" t="str">
        <f t="shared" si="4"/>
        <v/>
      </c>
      <c r="J75" s="132"/>
      <c r="K75" s="131"/>
      <c r="L75" s="130"/>
      <c r="M75" s="130"/>
      <c r="N75" s="130"/>
      <c r="O75" s="130"/>
      <c r="P75" s="174"/>
      <c r="Q75" s="174"/>
      <c r="R75" s="174"/>
      <c r="S75" s="174"/>
      <c r="T75" s="122" t="str">
        <f t="shared" si="5"/>
        <v/>
      </c>
      <c r="U75" s="123" t="str">
        <f t="shared" si="6"/>
        <v/>
      </c>
      <c r="V75" s="17"/>
      <c r="W75" s="17"/>
      <c r="X75" s="17"/>
      <c r="Y75" s="17"/>
      <c r="Z75" s="17"/>
      <c r="AA75" s="17"/>
      <c r="AB75" s="17"/>
      <c r="AC75" s="17"/>
      <c r="AD75" s="17"/>
      <c r="AE75" s="17"/>
      <c r="AF75" s="17"/>
    </row>
    <row r="76" ht="15.75" customHeight="1">
      <c r="A76" s="17"/>
      <c r="B76" s="125">
        <v>11.0</v>
      </c>
      <c r="C76" s="170" t="str">
        <f>IF('INPUT DATA'!Q21="","",'INPUT DATA'!Q21)</f>
        <v/>
      </c>
      <c r="D76" s="172"/>
      <c r="E76" s="163"/>
      <c r="F76" s="177" t="str">
        <f>IF('INPUT DATA'!T21="","",'INPUT DATA'!T21)</f>
        <v/>
      </c>
      <c r="G76" s="163"/>
      <c r="H76" s="176" t="str">
        <f>IF('INPUT DATA'!S21="","",'INPUT DATA'!S21)</f>
        <v/>
      </c>
      <c r="I76" s="129" t="str">
        <f t="shared" si="4"/>
        <v/>
      </c>
      <c r="J76" s="132"/>
      <c r="K76" s="131"/>
      <c r="L76" s="130"/>
      <c r="M76" s="130"/>
      <c r="N76" s="130"/>
      <c r="O76" s="130"/>
      <c r="P76" s="174"/>
      <c r="Q76" s="174"/>
      <c r="R76" s="174"/>
      <c r="S76" s="174"/>
      <c r="T76" s="122" t="str">
        <f t="shared" si="5"/>
        <v/>
      </c>
      <c r="U76" s="123" t="str">
        <f t="shared" si="6"/>
        <v/>
      </c>
      <c r="V76" s="17"/>
      <c r="W76" s="17"/>
      <c r="X76" s="17"/>
      <c r="Y76" s="17"/>
      <c r="Z76" s="17"/>
      <c r="AA76" s="17"/>
      <c r="AB76" s="17"/>
      <c r="AC76" s="17"/>
      <c r="AD76" s="17"/>
      <c r="AE76" s="17"/>
      <c r="AF76" s="17"/>
    </row>
    <row r="77" ht="15.75" customHeight="1">
      <c r="A77" s="17"/>
      <c r="B77" s="125">
        <v>12.0</v>
      </c>
      <c r="C77" s="170" t="str">
        <f>IF('INPUT DATA'!Q22="","",'INPUT DATA'!Q22)</f>
        <v/>
      </c>
      <c r="D77" s="172"/>
      <c r="E77" s="163"/>
      <c r="F77" s="177" t="str">
        <f>IF('INPUT DATA'!T22="","",'INPUT DATA'!T22)</f>
        <v/>
      </c>
      <c r="G77" s="163"/>
      <c r="H77" s="176" t="str">
        <f>IF('INPUT DATA'!S22="","",'INPUT DATA'!S22)</f>
        <v/>
      </c>
      <c r="I77" s="129" t="str">
        <f t="shared" si="4"/>
        <v/>
      </c>
      <c r="J77" s="132"/>
      <c r="K77" s="131"/>
      <c r="L77" s="130"/>
      <c r="M77" s="130"/>
      <c r="N77" s="130"/>
      <c r="O77" s="130"/>
      <c r="P77" s="174"/>
      <c r="Q77" s="174"/>
      <c r="R77" s="174"/>
      <c r="S77" s="174"/>
      <c r="T77" s="122" t="str">
        <f t="shared" si="5"/>
        <v/>
      </c>
      <c r="U77" s="123" t="str">
        <f t="shared" si="6"/>
        <v/>
      </c>
      <c r="V77" s="17"/>
      <c r="W77" s="17"/>
      <c r="X77" s="17"/>
      <c r="Y77" s="17"/>
      <c r="Z77" s="17"/>
      <c r="AA77" s="17"/>
      <c r="AB77" s="17"/>
      <c r="AC77" s="17"/>
      <c r="AD77" s="17"/>
      <c r="AE77" s="17"/>
      <c r="AF77" s="17"/>
    </row>
    <row r="78" ht="15.75" customHeight="1">
      <c r="A78" s="17"/>
      <c r="B78" s="125">
        <v>13.0</v>
      </c>
      <c r="C78" s="170" t="str">
        <f>IF('INPUT DATA'!Q23="","",'INPUT DATA'!Q23)</f>
        <v/>
      </c>
      <c r="D78" s="172"/>
      <c r="E78" s="163"/>
      <c r="F78" s="177" t="str">
        <f>IF('INPUT DATA'!T23="","",'INPUT DATA'!T23)</f>
        <v/>
      </c>
      <c r="G78" s="163"/>
      <c r="H78" s="176" t="str">
        <f>IF('INPUT DATA'!S23="","",'INPUT DATA'!S23)</f>
        <v/>
      </c>
      <c r="I78" s="129" t="str">
        <f t="shared" si="4"/>
        <v/>
      </c>
      <c r="J78" s="132"/>
      <c r="K78" s="131"/>
      <c r="L78" s="130"/>
      <c r="M78" s="130"/>
      <c r="N78" s="130"/>
      <c r="O78" s="130"/>
      <c r="P78" s="174"/>
      <c r="Q78" s="174"/>
      <c r="R78" s="174"/>
      <c r="S78" s="174"/>
      <c r="T78" s="122" t="str">
        <f t="shared" si="5"/>
        <v/>
      </c>
      <c r="U78" s="123" t="str">
        <f t="shared" si="6"/>
        <v/>
      </c>
      <c r="V78" s="17"/>
      <c r="W78" s="17"/>
      <c r="X78" s="17"/>
      <c r="Y78" s="17"/>
      <c r="Z78" s="17"/>
      <c r="AA78" s="17"/>
      <c r="AB78" s="17"/>
      <c r="AC78" s="17"/>
      <c r="AD78" s="17"/>
      <c r="AE78" s="17"/>
      <c r="AF78" s="17"/>
    </row>
    <row r="79" ht="15.75" customHeight="1">
      <c r="A79" s="17"/>
      <c r="B79" s="125">
        <v>14.0</v>
      </c>
      <c r="C79" s="170" t="str">
        <f>IF('INPUT DATA'!Q24="","",'INPUT DATA'!Q24)</f>
        <v/>
      </c>
      <c r="D79" s="172"/>
      <c r="E79" s="163"/>
      <c r="F79" s="177" t="str">
        <f>IF('INPUT DATA'!T24="","",'INPUT DATA'!T24)</f>
        <v/>
      </c>
      <c r="G79" s="163"/>
      <c r="H79" s="176" t="str">
        <f>IF('INPUT DATA'!S24="","",'INPUT DATA'!S24)</f>
        <v/>
      </c>
      <c r="I79" s="129" t="str">
        <f t="shared" si="4"/>
        <v/>
      </c>
      <c r="J79" s="132"/>
      <c r="K79" s="131"/>
      <c r="L79" s="130"/>
      <c r="M79" s="130"/>
      <c r="N79" s="130"/>
      <c r="O79" s="130"/>
      <c r="P79" s="174"/>
      <c r="Q79" s="174"/>
      <c r="R79" s="174"/>
      <c r="S79" s="174"/>
      <c r="T79" s="122" t="str">
        <f t="shared" si="5"/>
        <v/>
      </c>
      <c r="U79" s="123" t="str">
        <f t="shared" si="6"/>
        <v/>
      </c>
      <c r="V79" s="17"/>
      <c r="W79" s="17"/>
      <c r="X79" s="17"/>
      <c r="Y79" s="17"/>
      <c r="Z79" s="17"/>
      <c r="AA79" s="17"/>
      <c r="AB79" s="17"/>
      <c r="AC79" s="17"/>
      <c r="AD79" s="17"/>
      <c r="AE79" s="17"/>
      <c r="AF79" s="17"/>
    </row>
    <row r="80" ht="15.75" customHeight="1">
      <c r="A80" s="17"/>
      <c r="B80" s="125">
        <v>15.0</v>
      </c>
      <c r="C80" s="170" t="str">
        <f>IF('INPUT DATA'!Q25="","",'INPUT DATA'!Q25)</f>
        <v/>
      </c>
      <c r="D80" s="172"/>
      <c r="E80" s="163"/>
      <c r="F80" s="177" t="str">
        <f>IF('INPUT DATA'!T25="","",'INPUT DATA'!T25)</f>
        <v/>
      </c>
      <c r="G80" s="163"/>
      <c r="H80" s="176" t="str">
        <f>IF('INPUT DATA'!S25="","",'INPUT DATA'!S25)</f>
        <v/>
      </c>
      <c r="I80" s="129" t="str">
        <f t="shared" si="4"/>
        <v/>
      </c>
      <c r="J80" s="132"/>
      <c r="K80" s="131"/>
      <c r="L80" s="130"/>
      <c r="M80" s="130"/>
      <c r="N80" s="130"/>
      <c r="O80" s="130"/>
      <c r="P80" s="174"/>
      <c r="Q80" s="174"/>
      <c r="R80" s="174"/>
      <c r="S80" s="174"/>
      <c r="T80" s="122" t="str">
        <f t="shared" si="5"/>
        <v/>
      </c>
      <c r="U80" s="123" t="str">
        <f t="shared" si="6"/>
        <v/>
      </c>
      <c r="V80" s="17"/>
      <c r="W80" s="17"/>
      <c r="X80" s="17"/>
      <c r="Y80" s="17"/>
      <c r="Z80" s="17"/>
      <c r="AA80" s="17"/>
      <c r="AB80" s="17"/>
      <c r="AC80" s="17"/>
      <c r="AD80" s="17"/>
      <c r="AE80" s="17"/>
      <c r="AF80" s="17"/>
    </row>
    <row r="81" ht="15.75" customHeight="1">
      <c r="A81" s="17"/>
      <c r="B81" s="125">
        <v>16.0</v>
      </c>
      <c r="C81" s="170" t="str">
        <f>IF('INPUT DATA'!Q26="","",'INPUT DATA'!Q26)</f>
        <v/>
      </c>
      <c r="D81" s="172"/>
      <c r="E81" s="163"/>
      <c r="F81" s="177" t="str">
        <f>IF('INPUT DATA'!T26="","",'INPUT DATA'!T26)</f>
        <v/>
      </c>
      <c r="G81" s="163"/>
      <c r="H81" s="176" t="str">
        <f>IF('INPUT DATA'!S26="","",'INPUT DATA'!S26)</f>
        <v/>
      </c>
      <c r="I81" s="129" t="str">
        <f t="shared" si="4"/>
        <v/>
      </c>
      <c r="J81" s="132"/>
      <c r="K81" s="131"/>
      <c r="L81" s="130"/>
      <c r="M81" s="130"/>
      <c r="N81" s="130"/>
      <c r="O81" s="130"/>
      <c r="P81" s="174"/>
      <c r="Q81" s="174"/>
      <c r="R81" s="174"/>
      <c r="S81" s="174"/>
      <c r="T81" s="122" t="str">
        <f t="shared" si="5"/>
        <v/>
      </c>
      <c r="U81" s="123" t="str">
        <f t="shared" si="6"/>
        <v/>
      </c>
      <c r="V81" s="17"/>
      <c r="W81" s="17"/>
      <c r="X81" s="17"/>
      <c r="Y81" s="17"/>
      <c r="Z81" s="17"/>
      <c r="AA81" s="17"/>
      <c r="AB81" s="17"/>
      <c r="AC81" s="17"/>
      <c r="AD81" s="17"/>
      <c r="AE81" s="17"/>
      <c r="AF81" s="17"/>
    </row>
    <row r="82" ht="15.75" customHeight="1">
      <c r="A82" s="17"/>
      <c r="B82" s="125">
        <v>17.0</v>
      </c>
      <c r="C82" s="170" t="str">
        <f>IF('INPUT DATA'!Q27="","",'INPUT DATA'!Q27)</f>
        <v/>
      </c>
      <c r="D82" s="172"/>
      <c r="E82" s="163"/>
      <c r="F82" s="177" t="str">
        <f>IF('INPUT DATA'!T27="","",'INPUT DATA'!T27)</f>
        <v/>
      </c>
      <c r="G82" s="163"/>
      <c r="H82" s="176" t="str">
        <f>IF('INPUT DATA'!S27="","",'INPUT DATA'!S27)</f>
        <v/>
      </c>
      <c r="I82" s="129" t="str">
        <f t="shared" si="4"/>
        <v/>
      </c>
      <c r="J82" s="132"/>
      <c r="K82" s="131"/>
      <c r="L82" s="130"/>
      <c r="M82" s="130"/>
      <c r="N82" s="130"/>
      <c r="O82" s="130"/>
      <c r="P82" s="174"/>
      <c r="Q82" s="174"/>
      <c r="R82" s="174"/>
      <c r="S82" s="174"/>
      <c r="T82" s="122" t="str">
        <f t="shared" si="5"/>
        <v/>
      </c>
      <c r="U82" s="123" t="str">
        <f t="shared" si="6"/>
        <v/>
      </c>
      <c r="V82" s="17"/>
      <c r="W82" s="17"/>
      <c r="X82" s="17"/>
      <c r="Y82" s="17"/>
      <c r="Z82" s="17"/>
      <c r="AA82" s="17"/>
      <c r="AB82" s="17"/>
      <c r="AC82" s="17"/>
      <c r="AD82" s="17"/>
      <c r="AE82" s="17"/>
      <c r="AF82" s="17"/>
    </row>
    <row r="83" ht="15.75" customHeight="1">
      <c r="A83" s="17"/>
      <c r="B83" s="125">
        <v>18.0</v>
      </c>
      <c r="C83" s="170" t="str">
        <f>IF('INPUT DATA'!Q28="","",'INPUT DATA'!Q28)</f>
        <v/>
      </c>
      <c r="D83" s="172"/>
      <c r="E83" s="163"/>
      <c r="F83" s="177" t="str">
        <f>IF('INPUT DATA'!T28="","",'INPUT DATA'!T28)</f>
        <v/>
      </c>
      <c r="G83" s="163"/>
      <c r="H83" s="176" t="str">
        <f>IF('INPUT DATA'!S28="","",'INPUT DATA'!S28)</f>
        <v/>
      </c>
      <c r="I83" s="129" t="str">
        <f t="shared" si="4"/>
        <v/>
      </c>
      <c r="J83" s="132"/>
      <c r="K83" s="131"/>
      <c r="L83" s="130"/>
      <c r="M83" s="130"/>
      <c r="N83" s="130"/>
      <c r="O83" s="130"/>
      <c r="P83" s="174"/>
      <c r="Q83" s="174"/>
      <c r="R83" s="174"/>
      <c r="S83" s="174"/>
      <c r="T83" s="122" t="str">
        <f t="shared" si="5"/>
        <v/>
      </c>
      <c r="U83" s="123" t="str">
        <f t="shared" si="6"/>
        <v/>
      </c>
      <c r="V83" s="17"/>
      <c r="W83" s="17"/>
      <c r="X83" s="17"/>
      <c r="Y83" s="17"/>
      <c r="Z83" s="17"/>
      <c r="AA83" s="17"/>
      <c r="AB83" s="17"/>
      <c r="AC83" s="17"/>
      <c r="AD83" s="17"/>
      <c r="AE83" s="17"/>
      <c r="AF83" s="17"/>
    </row>
    <row r="84" ht="15.75" customHeight="1">
      <c r="A84" s="17"/>
      <c r="B84" s="125">
        <v>19.0</v>
      </c>
      <c r="C84" s="170" t="str">
        <f>IF('INPUT DATA'!Q29="","",'INPUT DATA'!Q29)</f>
        <v/>
      </c>
      <c r="D84" s="172"/>
      <c r="E84" s="163"/>
      <c r="F84" s="177" t="str">
        <f>IF('INPUT DATA'!T29="","",'INPUT DATA'!T29)</f>
        <v/>
      </c>
      <c r="G84" s="163"/>
      <c r="H84" s="176" t="str">
        <f>IF('INPUT DATA'!S29="","",'INPUT DATA'!S29)</f>
        <v/>
      </c>
      <c r="I84" s="129" t="str">
        <f t="shared" si="4"/>
        <v/>
      </c>
      <c r="J84" s="132"/>
      <c r="K84" s="131"/>
      <c r="L84" s="130"/>
      <c r="M84" s="130"/>
      <c r="N84" s="130"/>
      <c r="O84" s="130"/>
      <c r="P84" s="174"/>
      <c r="Q84" s="174"/>
      <c r="R84" s="174"/>
      <c r="S84" s="174"/>
      <c r="T84" s="122" t="str">
        <f t="shared" si="5"/>
        <v/>
      </c>
      <c r="U84" s="123" t="str">
        <f t="shared" si="6"/>
        <v/>
      </c>
      <c r="V84" s="17"/>
      <c r="W84" s="17"/>
      <c r="X84" s="17"/>
      <c r="Y84" s="17"/>
      <c r="Z84" s="17"/>
      <c r="AA84" s="17"/>
      <c r="AB84" s="17"/>
      <c r="AC84" s="17"/>
      <c r="AD84" s="17"/>
      <c r="AE84" s="17"/>
      <c r="AF84" s="17"/>
    </row>
    <row r="85" ht="15.75" customHeight="1">
      <c r="A85" s="17"/>
      <c r="B85" s="135">
        <v>20.0</v>
      </c>
      <c r="C85" s="170" t="str">
        <f>IF('INPUT DATA'!Q30="","",'INPUT DATA'!Q30)</f>
        <v/>
      </c>
      <c r="D85" s="172"/>
      <c r="E85" s="163"/>
      <c r="F85" s="177" t="str">
        <f>IF('INPUT DATA'!T30="","",'INPUT DATA'!T30)</f>
        <v/>
      </c>
      <c r="G85" s="163"/>
      <c r="H85" s="176" t="str">
        <f>IF('INPUT DATA'!S30="","",'INPUT DATA'!S30)</f>
        <v/>
      </c>
      <c r="I85" s="129" t="str">
        <f t="shared" si="4"/>
        <v/>
      </c>
      <c r="J85" s="132"/>
      <c r="K85" s="136"/>
      <c r="L85" s="137"/>
      <c r="M85" s="137"/>
      <c r="N85" s="137"/>
      <c r="O85" s="137"/>
      <c r="P85" s="178"/>
      <c r="Q85" s="178"/>
      <c r="R85" s="178"/>
      <c r="S85" s="178"/>
      <c r="T85" s="122" t="str">
        <f t="shared" si="5"/>
        <v/>
      </c>
      <c r="U85" s="123" t="str">
        <f t="shared" si="6"/>
        <v/>
      </c>
      <c r="V85" s="17"/>
      <c r="W85" s="17"/>
      <c r="X85" s="17"/>
      <c r="Y85" s="17"/>
      <c r="Z85" s="17"/>
      <c r="AA85" s="17"/>
      <c r="AB85" s="17"/>
      <c r="AC85" s="17"/>
      <c r="AD85" s="17"/>
      <c r="AE85" s="17"/>
      <c r="AF85" s="17"/>
    </row>
    <row r="86" ht="15.75" customHeight="1">
      <c r="A86" s="17"/>
      <c r="B86" s="135">
        <v>21.0</v>
      </c>
      <c r="C86" s="170" t="str">
        <f>IF('INPUT DATA'!Q31="","",'INPUT DATA'!Q31)</f>
        <v/>
      </c>
      <c r="D86" s="172"/>
      <c r="E86" s="163"/>
      <c r="F86" s="177" t="str">
        <f>IF('INPUT DATA'!T31="","",'INPUT DATA'!T31)</f>
        <v/>
      </c>
      <c r="G86" s="163"/>
      <c r="H86" s="176" t="str">
        <f>IF('INPUT DATA'!S31="","",'INPUT DATA'!S31)</f>
        <v/>
      </c>
      <c r="I86" s="129" t="str">
        <f t="shared" si="4"/>
        <v/>
      </c>
      <c r="J86" s="132"/>
      <c r="K86" s="131"/>
      <c r="L86" s="130"/>
      <c r="M86" s="130"/>
      <c r="N86" s="130"/>
      <c r="O86" s="130"/>
      <c r="P86" s="174"/>
      <c r="Q86" s="174"/>
      <c r="R86" s="174"/>
      <c r="S86" s="174"/>
      <c r="T86" s="122" t="str">
        <f t="shared" si="5"/>
        <v/>
      </c>
      <c r="U86" s="123" t="str">
        <f t="shared" si="6"/>
        <v/>
      </c>
      <c r="V86" s="17"/>
      <c r="W86" s="17"/>
      <c r="X86" s="17"/>
      <c r="Y86" s="17"/>
      <c r="Z86" s="17"/>
      <c r="AA86" s="17"/>
      <c r="AB86" s="17"/>
      <c r="AC86" s="17"/>
      <c r="AD86" s="17"/>
      <c r="AE86" s="17"/>
      <c r="AF86" s="17"/>
    </row>
    <row r="87" ht="15.75" customHeight="1">
      <c r="A87" s="17"/>
      <c r="B87" s="135">
        <v>22.0</v>
      </c>
      <c r="C87" s="170" t="str">
        <f>IF('INPUT DATA'!Q32="","",'INPUT DATA'!Q32)</f>
        <v/>
      </c>
      <c r="D87" s="172"/>
      <c r="E87" s="163"/>
      <c r="F87" s="177" t="str">
        <f>IF('INPUT DATA'!T32="","",'INPUT DATA'!T32)</f>
        <v/>
      </c>
      <c r="G87" s="163"/>
      <c r="H87" s="176" t="str">
        <f>IF('INPUT DATA'!S32="","",'INPUT DATA'!S32)</f>
        <v/>
      </c>
      <c r="I87" s="129" t="str">
        <f t="shared" si="4"/>
        <v/>
      </c>
      <c r="J87" s="132"/>
      <c r="K87" s="131"/>
      <c r="L87" s="130"/>
      <c r="M87" s="130"/>
      <c r="N87" s="130"/>
      <c r="O87" s="130"/>
      <c r="P87" s="174"/>
      <c r="Q87" s="174"/>
      <c r="R87" s="174"/>
      <c r="S87" s="174"/>
      <c r="T87" s="122" t="str">
        <f t="shared" si="5"/>
        <v/>
      </c>
      <c r="U87" s="123" t="str">
        <f t="shared" si="6"/>
        <v/>
      </c>
      <c r="V87" s="17"/>
      <c r="W87" s="17"/>
      <c r="X87" s="17"/>
      <c r="Y87" s="17"/>
      <c r="Z87" s="17"/>
      <c r="AA87" s="17"/>
      <c r="AB87" s="17"/>
      <c r="AC87" s="17"/>
      <c r="AD87" s="17"/>
      <c r="AE87" s="17"/>
      <c r="AF87" s="17"/>
    </row>
    <row r="88" ht="15.75" customHeight="1">
      <c r="A88" s="17"/>
      <c r="B88" s="135">
        <v>23.0</v>
      </c>
      <c r="C88" s="170" t="str">
        <f>IF('INPUT DATA'!Q33="","",'INPUT DATA'!Q33)</f>
        <v/>
      </c>
      <c r="D88" s="172"/>
      <c r="E88" s="163"/>
      <c r="F88" s="177" t="str">
        <f>IF('INPUT DATA'!T33="","",'INPUT DATA'!T33)</f>
        <v/>
      </c>
      <c r="G88" s="163"/>
      <c r="H88" s="176" t="str">
        <f>IF('INPUT DATA'!S33="","",'INPUT DATA'!S33)</f>
        <v/>
      </c>
      <c r="I88" s="129" t="str">
        <f t="shared" si="4"/>
        <v/>
      </c>
      <c r="J88" s="132"/>
      <c r="K88" s="131"/>
      <c r="L88" s="130"/>
      <c r="M88" s="130"/>
      <c r="N88" s="130"/>
      <c r="O88" s="130"/>
      <c r="P88" s="174"/>
      <c r="Q88" s="174"/>
      <c r="R88" s="174"/>
      <c r="S88" s="174"/>
      <c r="T88" s="122" t="str">
        <f t="shared" si="5"/>
        <v/>
      </c>
      <c r="U88" s="123" t="str">
        <f t="shared" si="6"/>
        <v/>
      </c>
      <c r="V88" s="17"/>
      <c r="W88" s="17"/>
      <c r="X88" s="17"/>
      <c r="Y88" s="17"/>
      <c r="Z88" s="17"/>
      <c r="AA88" s="17"/>
      <c r="AB88" s="17"/>
      <c r="AC88" s="17"/>
      <c r="AD88" s="17"/>
      <c r="AE88" s="17"/>
      <c r="AF88" s="17"/>
    </row>
    <row r="89" ht="15.75" customHeight="1">
      <c r="A89" s="17"/>
      <c r="B89" s="135">
        <v>24.0</v>
      </c>
      <c r="C89" s="170" t="str">
        <f>IF('INPUT DATA'!Q34="","",'INPUT DATA'!Q34)</f>
        <v/>
      </c>
      <c r="D89" s="172"/>
      <c r="E89" s="163"/>
      <c r="F89" s="177" t="str">
        <f>IF('INPUT DATA'!T34="","",'INPUT DATA'!T34)</f>
        <v/>
      </c>
      <c r="G89" s="163"/>
      <c r="H89" s="176" t="str">
        <f>IF('INPUT DATA'!S34="","",'INPUT DATA'!S34)</f>
        <v/>
      </c>
      <c r="I89" s="129" t="str">
        <f t="shared" si="4"/>
        <v/>
      </c>
      <c r="J89" s="132"/>
      <c r="K89" s="131"/>
      <c r="L89" s="130"/>
      <c r="M89" s="130"/>
      <c r="N89" s="130"/>
      <c r="O89" s="130"/>
      <c r="P89" s="174"/>
      <c r="Q89" s="174"/>
      <c r="R89" s="174"/>
      <c r="S89" s="174"/>
      <c r="T89" s="122" t="str">
        <f t="shared" si="5"/>
        <v/>
      </c>
      <c r="U89" s="123" t="str">
        <f t="shared" si="6"/>
        <v/>
      </c>
      <c r="V89" s="17"/>
      <c r="W89" s="17"/>
      <c r="X89" s="17"/>
      <c r="Y89" s="17"/>
      <c r="Z89" s="17"/>
      <c r="AA89" s="17"/>
      <c r="AB89" s="17"/>
      <c r="AC89" s="17"/>
      <c r="AD89" s="17"/>
      <c r="AE89" s="17"/>
      <c r="AF89" s="17"/>
    </row>
    <row r="90" ht="15.75" customHeight="1">
      <c r="A90" s="17"/>
      <c r="B90" s="135">
        <v>25.0</v>
      </c>
      <c r="C90" s="170" t="str">
        <f>IF('INPUT DATA'!Q35="","",'INPUT DATA'!Q35)</f>
        <v/>
      </c>
      <c r="D90" s="172"/>
      <c r="E90" s="163"/>
      <c r="F90" s="177" t="str">
        <f>IF('INPUT DATA'!T35="","",'INPUT DATA'!T35)</f>
        <v/>
      </c>
      <c r="G90" s="163"/>
      <c r="H90" s="176" t="str">
        <f>IF('INPUT DATA'!S35="","",'INPUT DATA'!S35)</f>
        <v/>
      </c>
      <c r="I90" s="129" t="str">
        <f t="shared" si="4"/>
        <v/>
      </c>
      <c r="J90" s="132"/>
      <c r="K90" s="131"/>
      <c r="L90" s="130"/>
      <c r="M90" s="130"/>
      <c r="N90" s="130"/>
      <c r="O90" s="130"/>
      <c r="P90" s="174"/>
      <c r="Q90" s="174"/>
      <c r="R90" s="174"/>
      <c r="S90" s="174"/>
      <c r="T90" s="122" t="str">
        <f t="shared" si="5"/>
        <v/>
      </c>
      <c r="U90" s="123" t="str">
        <f t="shared" si="6"/>
        <v/>
      </c>
      <c r="V90" s="17"/>
      <c r="W90" s="17"/>
      <c r="X90" s="17"/>
      <c r="Y90" s="17"/>
      <c r="Z90" s="17"/>
      <c r="AA90" s="17"/>
      <c r="AB90" s="17"/>
      <c r="AC90" s="17"/>
      <c r="AD90" s="17"/>
      <c r="AE90" s="17"/>
      <c r="AF90" s="17"/>
    </row>
    <row r="91" ht="15.75" customHeight="1">
      <c r="A91" s="17"/>
      <c r="B91" s="135">
        <v>26.0</v>
      </c>
      <c r="C91" s="170" t="str">
        <f>IF('INPUT DATA'!Q36="","",'INPUT DATA'!Q36)</f>
        <v/>
      </c>
      <c r="D91" s="172"/>
      <c r="E91" s="163"/>
      <c r="F91" s="177" t="str">
        <f>IF('INPUT DATA'!T36="","",'INPUT DATA'!T36)</f>
        <v/>
      </c>
      <c r="G91" s="163"/>
      <c r="H91" s="176" t="str">
        <f>IF('INPUT DATA'!S36="","",'INPUT DATA'!S36)</f>
        <v/>
      </c>
      <c r="I91" s="129" t="str">
        <f t="shared" si="4"/>
        <v/>
      </c>
      <c r="J91" s="132"/>
      <c r="K91" s="131"/>
      <c r="L91" s="130"/>
      <c r="M91" s="130"/>
      <c r="N91" s="130"/>
      <c r="O91" s="130"/>
      <c r="P91" s="174"/>
      <c r="Q91" s="174"/>
      <c r="R91" s="174"/>
      <c r="S91" s="174"/>
      <c r="T91" s="122" t="str">
        <f t="shared" si="5"/>
        <v/>
      </c>
      <c r="U91" s="123" t="str">
        <f t="shared" si="6"/>
        <v/>
      </c>
      <c r="V91" s="17"/>
      <c r="W91" s="17"/>
      <c r="X91" s="17"/>
      <c r="Y91" s="17"/>
      <c r="Z91" s="17"/>
      <c r="AA91" s="17"/>
      <c r="AB91" s="17"/>
      <c r="AC91" s="17"/>
      <c r="AD91" s="17"/>
      <c r="AE91" s="17"/>
      <c r="AF91" s="17"/>
    </row>
    <row r="92" ht="15.75" customHeight="1">
      <c r="A92" s="17"/>
      <c r="B92" s="135">
        <v>27.0</v>
      </c>
      <c r="C92" s="170" t="str">
        <f>IF('INPUT DATA'!Q37="","",'INPUT DATA'!Q37)</f>
        <v/>
      </c>
      <c r="D92" s="172"/>
      <c r="E92" s="163"/>
      <c r="F92" s="177" t="str">
        <f>IF('INPUT DATA'!T37="","",'INPUT DATA'!T37)</f>
        <v/>
      </c>
      <c r="G92" s="163"/>
      <c r="H92" s="176" t="str">
        <f>IF('INPUT DATA'!S37="","",'INPUT DATA'!S37)</f>
        <v/>
      </c>
      <c r="I92" s="129" t="str">
        <f t="shared" si="4"/>
        <v/>
      </c>
      <c r="J92" s="132"/>
      <c r="K92" s="131"/>
      <c r="L92" s="130"/>
      <c r="M92" s="130"/>
      <c r="N92" s="130"/>
      <c r="O92" s="130"/>
      <c r="P92" s="174"/>
      <c r="Q92" s="174"/>
      <c r="R92" s="174"/>
      <c r="S92" s="174"/>
      <c r="T92" s="122" t="str">
        <f t="shared" si="5"/>
        <v/>
      </c>
      <c r="U92" s="123" t="str">
        <f t="shared" si="6"/>
        <v/>
      </c>
      <c r="V92" s="17"/>
      <c r="W92" s="17"/>
      <c r="X92" s="17"/>
      <c r="Y92" s="17"/>
      <c r="Z92" s="17"/>
      <c r="AA92" s="17"/>
      <c r="AB92" s="17"/>
      <c r="AC92" s="17"/>
      <c r="AD92" s="17"/>
      <c r="AE92" s="17"/>
      <c r="AF92" s="17"/>
    </row>
    <row r="93" ht="15.75" customHeight="1">
      <c r="A93" s="17"/>
      <c r="B93" s="135">
        <v>28.0</v>
      </c>
      <c r="C93" s="170" t="str">
        <f>IF('INPUT DATA'!Q38="","",'INPUT DATA'!Q38)</f>
        <v/>
      </c>
      <c r="D93" s="172"/>
      <c r="E93" s="163"/>
      <c r="F93" s="177" t="str">
        <f>IF('INPUT DATA'!T38="","",'INPUT DATA'!T38)</f>
        <v/>
      </c>
      <c r="G93" s="163"/>
      <c r="H93" s="176" t="str">
        <f>IF('INPUT DATA'!S38="","",'INPUT DATA'!S38)</f>
        <v/>
      </c>
      <c r="I93" s="129" t="str">
        <f t="shared" si="4"/>
        <v/>
      </c>
      <c r="J93" s="132"/>
      <c r="K93" s="131"/>
      <c r="L93" s="130"/>
      <c r="M93" s="130"/>
      <c r="N93" s="130"/>
      <c r="O93" s="130"/>
      <c r="P93" s="174"/>
      <c r="Q93" s="174"/>
      <c r="R93" s="174"/>
      <c r="S93" s="174"/>
      <c r="T93" s="122" t="str">
        <f t="shared" si="5"/>
        <v/>
      </c>
      <c r="U93" s="123" t="str">
        <f t="shared" si="6"/>
        <v/>
      </c>
      <c r="V93" s="17"/>
      <c r="W93" s="17"/>
      <c r="X93" s="17"/>
      <c r="Y93" s="17"/>
      <c r="Z93" s="17"/>
      <c r="AA93" s="17"/>
      <c r="AB93" s="17"/>
      <c r="AC93" s="17"/>
      <c r="AD93" s="17"/>
      <c r="AE93" s="17"/>
      <c r="AF93" s="17"/>
    </row>
    <row r="94" ht="15.75" customHeight="1">
      <c r="A94" s="17"/>
      <c r="B94" s="135">
        <v>29.0</v>
      </c>
      <c r="C94" s="170" t="str">
        <f>IF('INPUT DATA'!Q39="","",'INPUT DATA'!Q39)</f>
        <v/>
      </c>
      <c r="D94" s="172"/>
      <c r="E94" s="163"/>
      <c r="F94" s="177" t="str">
        <f>IF('INPUT DATA'!T39="","",'INPUT DATA'!T39)</f>
        <v/>
      </c>
      <c r="G94" s="163"/>
      <c r="H94" s="176" t="str">
        <f>IF('INPUT DATA'!S39="","",'INPUT DATA'!S39)</f>
        <v/>
      </c>
      <c r="I94" s="129" t="str">
        <f t="shared" si="4"/>
        <v/>
      </c>
      <c r="J94" s="132"/>
      <c r="K94" s="131"/>
      <c r="L94" s="130"/>
      <c r="M94" s="130"/>
      <c r="N94" s="130"/>
      <c r="O94" s="130"/>
      <c r="P94" s="174"/>
      <c r="Q94" s="174"/>
      <c r="R94" s="174"/>
      <c r="S94" s="174"/>
      <c r="T94" s="122" t="str">
        <f t="shared" si="5"/>
        <v/>
      </c>
      <c r="U94" s="123" t="str">
        <f t="shared" si="6"/>
        <v/>
      </c>
      <c r="V94" s="17"/>
      <c r="W94" s="17"/>
      <c r="X94" s="17"/>
      <c r="Y94" s="17"/>
      <c r="Z94" s="17"/>
      <c r="AA94" s="17"/>
      <c r="AB94" s="17"/>
      <c r="AC94" s="17"/>
      <c r="AD94" s="17"/>
      <c r="AE94" s="17"/>
      <c r="AF94" s="17"/>
    </row>
    <row r="95" ht="15.75" customHeight="1">
      <c r="A95" s="17"/>
      <c r="B95" s="135">
        <v>30.0</v>
      </c>
      <c r="C95" s="170" t="str">
        <f>IF('INPUT DATA'!Q40="","",'INPUT DATA'!Q40)</f>
        <v/>
      </c>
      <c r="D95" s="172"/>
      <c r="E95" s="163"/>
      <c r="F95" s="177" t="str">
        <f>IF('INPUT DATA'!T40="","",'INPUT DATA'!T40)</f>
        <v/>
      </c>
      <c r="G95" s="163"/>
      <c r="H95" s="176" t="str">
        <f>IF('INPUT DATA'!S40="","",'INPUT DATA'!S40)</f>
        <v/>
      </c>
      <c r="I95" s="129" t="str">
        <f t="shared" si="4"/>
        <v/>
      </c>
      <c r="J95" s="132"/>
      <c r="K95" s="131"/>
      <c r="L95" s="130"/>
      <c r="M95" s="130"/>
      <c r="N95" s="130"/>
      <c r="O95" s="130"/>
      <c r="P95" s="174"/>
      <c r="Q95" s="174"/>
      <c r="R95" s="174"/>
      <c r="S95" s="174"/>
      <c r="T95" s="122" t="str">
        <f t="shared" si="5"/>
        <v/>
      </c>
      <c r="U95" s="123" t="str">
        <f t="shared" si="6"/>
        <v/>
      </c>
      <c r="V95" s="17"/>
      <c r="W95" s="17"/>
      <c r="X95" s="17"/>
      <c r="Y95" s="17"/>
      <c r="Z95" s="17"/>
      <c r="AA95" s="17"/>
      <c r="AB95" s="17"/>
      <c r="AC95" s="17"/>
      <c r="AD95" s="17"/>
      <c r="AE95" s="17"/>
      <c r="AF95" s="17"/>
    </row>
    <row r="96" ht="15.75" customHeight="1">
      <c r="A96" s="17"/>
      <c r="B96" s="135">
        <v>31.0</v>
      </c>
      <c r="C96" s="170" t="str">
        <f>IF('INPUT DATA'!Q41="","",'INPUT DATA'!Q41)</f>
        <v/>
      </c>
      <c r="D96" s="172"/>
      <c r="E96" s="163"/>
      <c r="F96" s="177" t="str">
        <f>IF('INPUT DATA'!T41="","",'INPUT DATA'!T41)</f>
        <v/>
      </c>
      <c r="G96" s="163"/>
      <c r="H96" s="176" t="str">
        <f>IF('INPUT DATA'!S41="","",'INPUT DATA'!S41)</f>
        <v/>
      </c>
      <c r="I96" s="129" t="str">
        <f t="shared" si="4"/>
        <v/>
      </c>
      <c r="J96" s="132"/>
      <c r="K96" s="131"/>
      <c r="L96" s="130"/>
      <c r="M96" s="130"/>
      <c r="N96" s="130"/>
      <c r="O96" s="130"/>
      <c r="P96" s="174"/>
      <c r="Q96" s="174"/>
      <c r="R96" s="174"/>
      <c r="S96" s="174"/>
      <c r="T96" s="122" t="str">
        <f t="shared" si="5"/>
        <v/>
      </c>
      <c r="U96" s="123" t="str">
        <f t="shared" si="6"/>
        <v/>
      </c>
      <c r="V96" s="17"/>
      <c r="W96" s="17"/>
      <c r="X96" s="17"/>
      <c r="Y96" s="17"/>
      <c r="Z96" s="17"/>
      <c r="AA96" s="17"/>
      <c r="AB96" s="17"/>
      <c r="AC96" s="17"/>
      <c r="AD96" s="17"/>
      <c r="AE96" s="17"/>
      <c r="AF96" s="17"/>
    </row>
    <row r="97" ht="15.75" customHeight="1">
      <c r="A97" s="17"/>
      <c r="B97" s="135">
        <v>32.0</v>
      </c>
      <c r="C97" s="170" t="str">
        <f>IF('INPUT DATA'!Q42="","",'INPUT DATA'!Q42)</f>
        <v/>
      </c>
      <c r="D97" s="172"/>
      <c r="E97" s="163"/>
      <c r="F97" s="177" t="str">
        <f>IF('INPUT DATA'!T42="","",'INPUT DATA'!T42)</f>
        <v/>
      </c>
      <c r="G97" s="163"/>
      <c r="H97" s="176" t="str">
        <f>IF('INPUT DATA'!S42="","",'INPUT DATA'!S42)</f>
        <v/>
      </c>
      <c r="I97" s="129" t="str">
        <f t="shared" si="4"/>
        <v/>
      </c>
      <c r="J97" s="132"/>
      <c r="K97" s="131"/>
      <c r="L97" s="130"/>
      <c r="M97" s="130"/>
      <c r="N97" s="130"/>
      <c r="O97" s="130"/>
      <c r="P97" s="174"/>
      <c r="Q97" s="174"/>
      <c r="R97" s="174"/>
      <c r="S97" s="174"/>
      <c r="T97" s="122" t="str">
        <f t="shared" si="5"/>
        <v/>
      </c>
      <c r="U97" s="123" t="str">
        <f t="shared" si="6"/>
        <v/>
      </c>
      <c r="V97" s="17"/>
      <c r="W97" s="17"/>
      <c r="X97" s="17"/>
      <c r="Y97" s="17"/>
      <c r="Z97" s="17"/>
      <c r="AA97" s="17"/>
      <c r="AB97" s="17"/>
      <c r="AC97" s="17"/>
      <c r="AD97" s="17"/>
      <c r="AE97" s="17"/>
      <c r="AF97" s="17"/>
    </row>
    <row r="98" ht="15.75" customHeight="1">
      <c r="A98" s="17"/>
      <c r="B98" s="135">
        <v>33.0</v>
      </c>
      <c r="C98" s="170" t="str">
        <f>IF('INPUT DATA'!Q43="","",'INPUT DATA'!Q43)</f>
        <v/>
      </c>
      <c r="D98" s="172"/>
      <c r="E98" s="163"/>
      <c r="F98" s="177" t="str">
        <f>IF('INPUT DATA'!T43="","",'INPUT DATA'!T43)</f>
        <v/>
      </c>
      <c r="G98" s="163"/>
      <c r="H98" s="176" t="str">
        <f>IF('INPUT DATA'!S43="","",'INPUT DATA'!S43)</f>
        <v/>
      </c>
      <c r="I98" s="129" t="str">
        <f t="shared" si="4"/>
        <v/>
      </c>
      <c r="J98" s="132"/>
      <c r="K98" s="131"/>
      <c r="L98" s="130"/>
      <c r="M98" s="130"/>
      <c r="N98" s="130"/>
      <c r="O98" s="130"/>
      <c r="P98" s="174"/>
      <c r="Q98" s="174"/>
      <c r="R98" s="174"/>
      <c r="S98" s="174"/>
      <c r="T98" s="122" t="str">
        <f t="shared" si="5"/>
        <v/>
      </c>
      <c r="U98" s="123" t="str">
        <f t="shared" si="6"/>
        <v/>
      </c>
      <c r="V98" s="17"/>
      <c r="W98" s="17"/>
      <c r="X98" s="17"/>
      <c r="Y98" s="17"/>
      <c r="Z98" s="17"/>
      <c r="AA98" s="17"/>
      <c r="AB98" s="17"/>
      <c r="AC98" s="17"/>
      <c r="AD98" s="17"/>
      <c r="AE98" s="17"/>
      <c r="AF98" s="17"/>
    </row>
    <row r="99" ht="15.75" customHeight="1">
      <c r="A99" s="17"/>
      <c r="B99" s="135">
        <v>34.0</v>
      </c>
      <c r="C99" s="170" t="str">
        <f>IF('INPUT DATA'!Q44="","",'INPUT DATA'!Q44)</f>
        <v/>
      </c>
      <c r="D99" s="172"/>
      <c r="E99" s="163"/>
      <c r="F99" s="177" t="str">
        <f>IF('INPUT DATA'!T44="","",'INPUT DATA'!T44)</f>
        <v/>
      </c>
      <c r="G99" s="163"/>
      <c r="H99" s="176" t="str">
        <f>IF('INPUT DATA'!S44="","",'INPUT DATA'!S44)</f>
        <v/>
      </c>
      <c r="I99" s="129" t="str">
        <f t="shared" si="4"/>
        <v/>
      </c>
      <c r="J99" s="132"/>
      <c r="K99" s="131"/>
      <c r="L99" s="130"/>
      <c r="M99" s="130"/>
      <c r="N99" s="130"/>
      <c r="O99" s="130"/>
      <c r="P99" s="174"/>
      <c r="Q99" s="174"/>
      <c r="R99" s="174"/>
      <c r="S99" s="174"/>
      <c r="T99" s="122" t="str">
        <f t="shared" si="5"/>
        <v/>
      </c>
      <c r="U99" s="123" t="str">
        <f t="shared" si="6"/>
        <v/>
      </c>
      <c r="V99" s="17"/>
      <c r="W99" s="17"/>
      <c r="X99" s="17"/>
      <c r="Y99" s="17"/>
      <c r="Z99" s="17"/>
      <c r="AA99" s="17"/>
      <c r="AB99" s="17"/>
      <c r="AC99" s="17"/>
      <c r="AD99" s="17"/>
      <c r="AE99" s="17"/>
      <c r="AF99" s="17"/>
    </row>
    <row r="100" ht="15.75" customHeight="1">
      <c r="A100" s="17"/>
      <c r="B100" s="135">
        <v>35.0</v>
      </c>
      <c r="C100" s="170" t="str">
        <f>IF('INPUT DATA'!Q45="","",'INPUT DATA'!Q45)</f>
        <v/>
      </c>
      <c r="D100" s="172"/>
      <c r="E100" s="163"/>
      <c r="F100" s="177" t="str">
        <f>IF('INPUT DATA'!T45="","",'INPUT DATA'!T45)</f>
        <v/>
      </c>
      <c r="G100" s="163"/>
      <c r="H100" s="176" t="str">
        <f>IF('INPUT DATA'!S45="","",'INPUT DATA'!S45)</f>
        <v/>
      </c>
      <c r="I100" s="129" t="str">
        <f t="shared" si="4"/>
        <v/>
      </c>
      <c r="J100" s="132"/>
      <c r="K100" s="131"/>
      <c r="L100" s="130"/>
      <c r="M100" s="130"/>
      <c r="N100" s="130"/>
      <c r="O100" s="130"/>
      <c r="P100" s="174"/>
      <c r="Q100" s="174"/>
      <c r="R100" s="174"/>
      <c r="S100" s="174"/>
      <c r="T100" s="122" t="str">
        <f t="shared" si="5"/>
        <v/>
      </c>
      <c r="U100" s="123" t="str">
        <f t="shared" si="6"/>
        <v/>
      </c>
      <c r="V100" s="17"/>
      <c r="W100" s="17"/>
      <c r="X100" s="17"/>
      <c r="Y100" s="17"/>
      <c r="Z100" s="17"/>
      <c r="AA100" s="17"/>
      <c r="AB100" s="17"/>
      <c r="AC100" s="17"/>
      <c r="AD100" s="17"/>
      <c r="AE100" s="17"/>
      <c r="AF100" s="17"/>
    </row>
    <row r="101" ht="15.75" customHeight="1">
      <c r="A101" s="17"/>
      <c r="B101" s="135">
        <v>36.0</v>
      </c>
      <c r="C101" s="170" t="str">
        <f>IF('INPUT DATA'!Q46="","",'INPUT DATA'!Q46)</f>
        <v/>
      </c>
      <c r="D101" s="172"/>
      <c r="E101" s="163"/>
      <c r="F101" s="177" t="str">
        <f>IF('INPUT DATA'!T46="","",'INPUT DATA'!T46)</f>
        <v/>
      </c>
      <c r="G101" s="163"/>
      <c r="H101" s="176" t="str">
        <f>IF('INPUT DATA'!S46="","",'INPUT DATA'!S46)</f>
        <v/>
      </c>
      <c r="I101" s="129" t="str">
        <f t="shared" si="4"/>
        <v/>
      </c>
      <c r="J101" s="132"/>
      <c r="K101" s="131"/>
      <c r="L101" s="130"/>
      <c r="M101" s="130"/>
      <c r="N101" s="130"/>
      <c r="O101" s="130"/>
      <c r="P101" s="174"/>
      <c r="Q101" s="174"/>
      <c r="R101" s="174"/>
      <c r="S101" s="174"/>
      <c r="T101" s="122" t="str">
        <f t="shared" si="5"/>
        <v/>
      </c>
      <c r="U101" s="123" t="str">
        <f t="shared" si="6"/>
        <v/>
      </c>
      <c r="V101" s="17"/>
      <c r="W101" s="17"/>
      <c r="X101" s="17"/>
      <c r="Y101" s="17"/>
      <c r="Z101" s="17"/>
      <c r="AA101" s="17"/>
      <c r="AB101" s="17"/>
      <c r="AC101" s="17"/>
      <c r="AD101" s="17"/>
      <c r="AE101" s="17"/>
      <c r="AF101" s="17"/>
    </row>
    <row r="102" ht="15.75" customHeight="1">
      <c r="A102" s="17"/>
      <c r="B102" s="135">
        <v>37.0</v>
      </c>
      <c r="C102" s="170" t="str">
        <f>IF('INPUT DATA'!Q47="","",'INPUT DATA'!Q47)</f>
        <v/>
      </c>
      <c r="D102" s="172"/>
      <c r="E102" s="163"/>
      <c r="F102" s="177" t="str">
        <f>IF('INPUT DATA'!T47="","",'INPUT DATA'!T47)</f>
        <v/>
      </c>
      <c r="G102" s="163"/>
      <c r="H102" s="176" t="str">
        <f>IF('INPUT DATA'!S47="","",'INPUT DATA'!S47)</f>
        <v/>
      </c>
      <c r="I102" s="129" t="str">
        <f t="shared" si="4"/>
        <v/>
      </c>
      <c r="J102" s="132"/>
      <c r="K102" s="131"/>
      <c r="L102" s="130"/>
      <c r="M102" s="130"/>
      <c r="N102" s="130"/>
      <c r="O102" s="130"/>
      <c r="P102" s="174"/>
      <c r="Q102" s="174"/>
      <c r="R102" s="174"/>
      <c r="S102" s="174"/>
      <c r="T102" s="122" t="str">
        <f t="shared" si="5"/>
        <v/>
      </c>
      <c r="U102" s="123" t="str">
        <f t="shared" si="6"/>
        <v/>
      </c>
      <c r="V102" s="17"/>
      <c r="W102" s="17"/>
      <c r="X102" s="17"/>
      <c r="Y102" s="17"/>
      <c r="Z102" s="17"/>
      <c r="AA102" s="17"/>
      <c r="AB102" s="17"/>
      <c r="AC102" s="17"/>
      <c r="AD102" s="17"/>
      <c r="AE102" s="17"/>
      <c r="AF102" s="17"/>
    </row>
    <row r="103" ht="15.75" customHeight="1">
      <c r="A103" s="17"/>
      <c r="B103" s="135">
        <v>38.0</v>
      </c>
      <c r="C103" s="170" t="str">
        <f>IF('INPUT DATA'!Q48="","",'INPUT DATA'!Q48)</f>
        <v/>
      </c>
      <c r="D103" s="172"/>
      <c r="E103" s="163"/>
      <c r="F103" s="177" t="str">
        <f>IF('INPUT DATA'!T48="","",'INPUT DATA'!T48)</f>
        <v/>
      </c>
      <c r="G103" s="163"/>
      <c r="H103" s="176" t="str">
        <f>IF('INPUT DATA'!S48="","",'INPUT DATA'!S48)</f>
        <v/>
      </c>
      <c r="I103" s="129" t="str">
        <f t="shared" si="4"/>
        <v/>
      </c>
      <c r="J103" s="132"/>
      <c r="K103" s="131"/>
      <c r="L103" s="130"/>
      <c r="M103" s="130"/>
      <c r="N103" s="130"/>
      <c r="O103" s="130"/>
      <c r="P103" s="174"/>
      <c r="Q103" s="174"/>
      <c r="R103" s="174"/>
      <c r="S103" s="174"/>
      <c r="T103" s="122" t="str">
        <f t="shared" si="5"/>
        <v/>
      </c>
      <c r="U103" s="123" t="str">
        <f t="shared" si="6"/>
        <v/>
      </c>
      <c r="V103" s="17"/>
      <c r="W103" s="17"/>
      <c r="X103" s="17"/>
      <c r="Y103" s="17"/>
      <c r="Z103" s="17"/>
      <c r="AA103" s="17"/>
      <c r="AB103" s="17"/>
      <c r="AC103" s="17"/>
      <c r="AD103" s="17"/>
      <c r="AE103" s="17"/>
      <c r="AF103" s="17"/>
    </row>
    <row r="104" ht="15.75" customHeight="1">
      <c r="A104" s="17"/>
      <c r="B104" s="135">
        <v>39.0</v>
      </c>
      <c r="C104" s="170" t="str">
        <f>IF('INPUT DATA'!Q49="","",'INPUT DATA'!Q49)</f>
        <v/>
      </c>
      <c r="D104" s="172"/>
      <c r="E104" s="163"/>
      <c r="F104" s="177" t="str">
        <f>IF('INPUT DATA'!T49="","",'INPUT DATA'!T49)</f>
        <v/>
      </c>
      <c r="G104" s="163"/>
      <c r="H104" s="176" t="str">
        <f>IF('INPUT DATA'!S49="","",'INPUT DATA'!S49)</f>
        <v/>
      </c>
      <c r="I104" s="129" t="str">
        <f t="shared" si="4"/>
        <v/>
      </c>
      <c r="J104" s="132"/>
      <c r="K104" s="131"/>
      <c r="L104" s="130"/>
      <c r="M104" s="130"/>
      <c r="N104" s="130"/>
      <c r="O104" s="130"/>
      <c r="P104" s="174"/>
      <c r="Q104" s="174"/>
      <c r="R104" s="174"/>
      <c r="S104" s="174"/>
      <c r="T104" s="122" t="str">
        <f t="shared" si="5"/>
        <v/>
      </c>
      <c r="U104" s="123" t="str">
        <f t="shared" si="6"/>
        <v/>
      </c>
      <c r="V104" s="17"/>
      <c r="W104" s="17"/>
      <c r="X104" s="17"/>
      <c r="Y104" s="17"/>
      <c r="Z104" s="17"/>
      <c r="AA104" s="17"/>
      <c r="AB104" s="17"/>
      <c r="AC104" s="17"/>
      <c r="AD104" s="17"/>
      <c r="AE104" s="17"/>
      <c r="AF104" s="17"/>
    </row>
    <row r="105" ht="15.75" customHeight="1">
      <c r="A105" s="17"/>
      <c r="B105" s="135">
        <v>40.0</v>
      </c>
      <c r="C105" s="170" t="str">
        <f>IF('INPUT DATA'!Q50="","",'INPUT DATA'!Q50)</f>
        <v/>
      </c>
      <c r="D105" s="172"/>
      <c r="E105" s="163"/>
      <c r="F105" s="177" t="str">
        <f>IF('INPUT DATA'!T50="","",'INPUT DATA'!T50)</f>
        <v/>
      </c>
      <c r="G105" s="163"/>
      <c r="H105" s="176" t="str">
        <f>IF('INPUT DATA'!S50="","",'INPUT DATA'!S50)</f>
        <v/>
      </c>
      <c r="I105" s="129" t="str">
        <f t="shared" si="4"/>
        <v/>
      </c>
      <c r="J105" s="132"/>
      <c r="K105" s="131"/>
      <c r="L105" s="130"/>
      <c r="M105" s="130"/>
      <c r="N105" s="130"/>
      <c r="O105" s="130"/>
      <c r="P105" s="174"/>
      <c r="Q105" s="174"/>
      <c r="R105" s="174"/>
      <c r="S105" s="174"/>
      <c r="T105" s="122" t="str">
        <f t="shared" si="5"/>
        <v/>
      </c>
      <c r="U105" s="123" t="str">
        <f t="shared" si="6"/>
        <v/>
      </c>
      <c r="V105" s="17"/>
      <c r="W105" s="17"/>
      <c r="X105" s="17"/>
      <c r="Y105" s="17"/>
      <c r="Z105" s="17"/>
      <c r="AA105" s="17"/>
      <c r="AB105" s="17"/>
      <c r="AC105" s="17"/>
      <c r="AD105" s="17"/>
      <c r="AE105" s="17"/>
      <c r="AF105" s="17"/>
    </row>
    <row r="106" ht="15.75" customHeight="1">
      <c r="A106" s="17"/>
      <c r="B106" s="135">
        <v>41.0</v>
      </c>
      <c r="C106" s="170" t="str">
        <f>IF('INPUT DATA'!Q51="","",'INPUT DATA'!Q51)</f>
        <v/>
      </c>
      <c r="D106" s="172"/>
      <c r="E106" s="163"/>
      <c r="F106" s="177" t="str">
        <f>IF('INPUT DATA'!T51="","",'INPUT DATA'!T51)</f>
        <v/>
      </c>
      <c r="G106" s="163"/>
      <c r="H106" s="176" t="str">
        <f>IF('INPUT DATA'!S51="","",'INPUT DATA'!S51)</f>
        <v/>
      </c>
      <c r="I106" s="129" t="str">
        <f t="shared" si="4"/>
        <v/>
      </c>
      <c r="J106" s="132"/>
      <c r="K106" s="131"/>
      <c r="L106" s="130"/>
      <c r="M106" s="130"/>
      <c r="N106" s="130"/>
      <c r="O106" s="130"/>
      <c r="P106" s="174"/>
      <c r="Q106" s="174"/>
      <c r="R106" s="174"/>
      <c r="S106" s="174"/>
      <c r="T106" s="122" t="str">
        <f t="shared" si="5"/>
        <v/>
      </c>
      <c r="U106" s="123" t="str">
        <f t="shared" si="6"/>
        <v/>
      </c>
      <c r="V106" s="17"/>
      <c r="W106" s="17"/>
      <c r="X106" s="17"/>
      <c r="Y106" s="17"/>
      <c r="Z106" s="17"/>
      <c r="AA106" s="17"/>
      <c r="AB106" s="17"/>
      <c r="AC106" s="17"/>
      <c r="AD106" s="17"/>
      <c r="AE106" s="17"/>
      <c r="AF106" s="17"/>
    </row>
    <row r="107" ht="15.75" customHeight="1">
      <c r="A107" s="17"/>
      <c r="B107" s="135">
        <v>42.0</v>
      </c>
      <c r="C107" s="170" t="str">
        <f>IF('INPUT DATA'!Q52="","",'INPUT DATA'!Q52)</f>
        <v/>
      </c>
      <c r="D107" s="172"/>
      <c r="E107" s="163"/>
      <c r="F107" s="177" t="str">
        <f>IF('INPUT DATA'!T52="","",'INPUT DATA'!T52)</f>
        <v/>
      </c>
      <c r="G107" s="163"/>
      <c r="H107" s="176" t="str">
        <f>IF('INPUT DATA'!S52="","",'INPUT DATA'!S52)</f>
        <v/>
      </c>
      <c r="I107" s="129" t="str">
        <f t="shared" si="4"/>
        <v/>
      </c>
      <c r="J107" s="132"/>
      <c r="K107" s="131"/>
      <c r="L107" s="130"/>
      <c r="M107" s="130"/>
      <c r="N107" s="130"/>
      <c r="O107" s="130"/>
      <c r="P107" s="174"/>
      <c r="Q107" s="174"/>
      <c r="R107" s="174"/>
      <c r="S107" s="174"/>
      <c r="T107" s="122" t="str">
        <f t="shared" si="5"/>
        <v/>
      </c>
      <c r="U107" s="123" t="str">
        <f t="shared" si="6"/>
        <v/>
      </c>
      <c r="V107" s="17"/>
      <c r="W107" s="17"/>
      <c r="X107" s="17"/>
      <c r="Y107" s="17"/>
      <c r="Z107" s="17"/>
      <c r="AA107" s="17"/>
      <c r="AB107" s="17"/>
      <c r="AC107" s="17"/>
      <c r="AD107" s="17"/>
      <c r="AE107" s="17"/>
      <c r="AF107" s="17"/>
    </row>
    <row r="108" ht="15.75" customHeight="1">
      <c r="A108" s="17"/>
      <c r="B108" s="135">
        <v>43.0</v>
      </c>
      <c r="C108" s="170" t="str">
        <f>IF('INPUT DATA'!Q53="","",'INPUT DATA'!Q53)</f>
        <v/>
      </c>
      <c r="D108" s="172"/>
      <c r="E108" s="163"/>
      <c r="F108" s="177" t="str">
        <f>IF('INPUT DATA'!T53="","",'INPUT DATA'!T53)</f>
        <v/>
      </c>
      <c r="G108" s="163"/>
      <c r="H108" s="176" t="str">
        <f>IF('INPUT DATA'!S53="","",'INPUT DATA'!S53)</f>
        <v/>
      </c>
      <c r="I108" s="129" t="str">
        <f t="shared" si="4"/>
        <v/>
      </c>
      <c r="J108" s="132"/>
      <c r="K108" s="131"/>
      <c r="L108" s="130"/>
      <c r="M108" s="130"/>
      <c r="N108" s="130"/>
      <c r="O108" s="130"/>
      <c r="P108" s="174"/>
      <c r="Q108" s="174"/>
      <c r="R108" s="174"/>
      <c r="S108" s="174"/>
      <c r="T108" s="122" t="str">
        <f t="shared" si="5"/>
        <v/>
      </c>
      <c r="U108" s="123" t="str">
        <f t="shared" si="6"/>
        <v/>
      </c>
      <c r="V108" s="17"/>
      <c r="W108" s="17"/>
      <c r="X108" s="17"/>
      <c r="Y108" s="17"/>
      <c r="Z108" s="17"/>
      <c r="AA108" s="17"/>
      <c r="AB108" s="17"/>
      <c r="AC108" s="17"/>
      <c r="AD108" s="17"/>
      <c r="AE108" s="17"/>
      <c r="AF108" s="17"/>
    </row>
    <row r="109" ht="15.75" customHeight="1">
      <c r="A109" s="17"/>
      <c r="B109" s="135">
        <v>44.0</v>
      </c>
      <c r="C109" s="170" t="str">
        <f>IF('INPUT DATA'!Q54="","",'INPUT DATA'!Q54)</f>
        <v/>
      </c>
      <c r="D109" s="172"/>
      <c r="E109" s="163"/>
      <c r="F109" s="177" t="str">
        <f>IF('INPUT DATA'!T54="","",'INPUT DATA'!T54)</f>
        <v/>
      </c>
      <c r="G109" s="163"/>
      <c r="H109" s="176" t="str">
        <f>IF('INPUT DATA'!S54="","",'INPUT DATA'!S54)</f>
        <v/>
      </c>
      <c r="I109" s="129" t="str">
        <f t="shared" si="4"/>
        <v/>
      </c>
      <c r="J109" s="132"/>
      <c r="K109" s="131"/>
      <c r="L109" s="130"/>
      <c r="M109" s="130"/>
      <c r="N109" s="130"/>
      <c r="O109" s="130"/>
      <c r="P109" s="174"/>
      <c r="Q109" s="174"/>
      <c r="R109" s="174"/>
      <c r="S109" s="174"/>
      <c r="T109" s="122" t="str">
        <f t="shared" si="5"/>
        <v/>
      </c>
      <c r="U109" s="123" t="str">
        <f t="shared" si="6"/>
        <v/>
      </c>
      <c r="V109" s="17"/>
      <c r="W109" s="17"/>
      <c r="X109" s="17"/>
      <c r="Y109" s="17"/>
      <c r="Z109" s="17"/>
      <c r="AA109" s="17"/>
      <c r="AB109" s="17"/>
      <c r="AC109" s="17"/>
      <c r="AD109" s="17"/>
      <c r="AE109" s="17"/>
      <c r="AF109" s="17"/>
    </row>
    <row r="110" ht="15.75" customHeight="1">
      <c r="A110" s="17"/>
      <c r="B110" s="135">
        <v>45.0</v>
      </c>
      <c r="C110" s="170" t="str">
        <f>IF('INPUT DATA'!Q55="","",'INPUT DATA'!Q55)</f>
        <v/>
      </c>
      <c r="D110" s="172"/>
      <c r="E110" s="163"/>
      <c r="F110" s="177" t="str">
        <f>IF('INPUT DATA'!T55="","",'INPUT DATA'!T55)</f>
        <v/>
      </c>
      <c r="G110" s="163"/>
      <c r="H110" s="176" t="str">
        <f>IF('INPUT DATA'!S55="","",'INPUT DATA'!S55)</f>
        <v/>
      </c>
      <c r="I110" s="129" t="str">
        <f t="shared" si="4"/>
        <v/>
      </c>
      <c r="J110" s="132"/>
      <c r="K110" s="136"/>
      <c r="L110" s="137"/>
      <c r="M110" s="137"/>
      <c r="N110" s="137"/>
      <c r="O110" s="137"/>
      <c r="P110" s="178"/>
      <c r="Q110" s="178"/>
      <c r="R110" s="178"/>
      <c r="S110" s="178"/>
      <c r="T110" s="122" t="str">
        <f t="shared" si="5"/>
        <v/>
      </c>
      <c r="U110" s="123" t="str">
        <f t="shared" si="6"/>
        <v/>
      </c>
      <c r="V110" s="17"/>
      <c r="W110" s="17"/>
      <c r="X110" s="17"/>
      <c r="Y110" s="17"/>
      <c r="Z110" s="17"/>
      <c r="AA110" s="17"/>
      <c r="AB110" s="17"/>
      <c r="AC110" s="17"/>
      <c r="AD110" s="17"/>
      <c r="AE110" s="17"/>
      <c r="AF110" s="17"/>
    </row>
    <row r="111" ht="15.75" customHeight="1">
      <c r="A111" s="17"/>
      <c r="B111" s="135">
        <v>46.0</v>
      </c>
      <c r="C111" s="170" t="str">
        <f>IF('INPUT DATA'!Q56="","",'INPUT DATA'!Q56)</f>
        <v/>
      </c>
      <c r="D111" s="172"/>
      <c r="E111" s="163"/>
      <c r="F111" s="177" t="str">
        <f>IF('INPUT DATA'!T56="","",'INPUT DATA'!T56)</f>
        <v/>
      </c>
      <c r="G111" s="163"/>
      <c r="H111" s="176" t="str">
        <f>IF('INPUT DATA'!S56="","",'INPUT DATA'!S56)</f>
        <v/>
      </c>
      <c r="I111" s="129" t="str">
        <f t="shared" si="4"/>
        <v/>
      </c>
      <c r="J111" s="132"/>
      <c r="K111" s="131"/>
      <c r="L111" s="130"/>
      <c r="M111" s="130"/>
      <c r="N111" s="130"/>
      <c r="O111" s="130"/>
      <c r="P111" s="174"/>
      <c r="Q111" s="174"/>
      <c r="R111" s="174"/>
      <c r="S111" s="174"/>
      <c r="T111" s="122" t="str">
        <f t="shared" si="5"/>
        <v/>
      </c>
      <c r="U111" s="123" t="str">
        <f t="shared" si="6"/>
        <v/>
      </c>
      <c r="V111" s="17"/>
      <c r="W111" s="17"/>
      <c r="X111" s="17"/>
      <c r="Y111" s="17"/>
      <c r="Z111" s="17"/>
      <c r="AA111" s="17"/>
      <c r="AB111" s="17"/>
      <c r="AC111" s="17"/>
      <c r="AD111" s="17"/>
      <c r="AE111" s="17"/>
      <c r="AF111" s="17"/>
    </row>
    <row r="112" ht="15.75" customHeight="1">
      <c r="A112" s="17"/>
      <c r="B112" s="135">
        <v>47.0</v>
      </c>
      <c r="C112" s="170" t="str">
        <f>IF('INPUT DATA'!Q57="","",'INPUT DATA'!Q57)</f>
        <v/>
      </c>
      <c r="D112" s="172"/>
      <c r="E112" s="163"/>
      <c r="F112" s="177" t="str">
        <f>IF('INPUT DATA'!T57="","",'INPUT DATA'!T57)</f>
        <v/>
      </c>
      <c r="G112" s="163"/>
      <c r="H112" s="176" t="str">
        <f>IF('INPUT DATA'!S57="","",'INPUT DATA'!S57)</f>
        <v/>
      </c>
      <c r="I112" s="129" t="str">
        <f t="shared" si="4"/>
        <v/>
      </c>
      <c r="J112" s="132"/>
      <c r="K112" s="131"/>
      <c r="L112" s="130"/>
      <c r="M112" s="130"/>
      <c r="N112" s="130"/>
      <c r="O112" s="130"/>
      <c r="P112" s="174"/>
      <c r="Q112" s="174"/>
      <c r="R112" s="174"/>
      <c r="S112" s="174"/>
      <c r="T112" s="122" t="str">
        <f t="shared" si="5"/>
        <v/>
      </c>
      <c r="U112" s="123" t="str">
        <f t="shared" si="6"/>
        <v/>
      </c>
      <c r="V112" s="17"/>
      <c r="W112" s="17"/>
      <c r="X112" s="17"/>
      <c r="Y112" s="17"/>
      <c r="Z112" s="17"/>
      <c r="AA112" s="17"/>
      <c r="AB112" s="17"/>
      <c r="AC112" s="17"/>
      <c r="AD112" s="17"/>
      <c r="AE112" s="17"/>
      <c r="AF112" s="17"/>
    </row>
    <row r="113" ht="15.75" customHeight="1">
      <c r="A113" s="17"/>
      <c r="B113" s="135">
        <v>48.0</v>
      </c>
      <c r="C113" s="170" t="str">
        <f>IF('INPUT DATA'!Q58="","",'INPUT DATA'!Q58)</f>
        <v/>
      </c>
      <c r="D113" s="172"/>
      <c r="E113" s="163"/>
      <c r="F113" s="177" t="str">
        <f>IF('INPUT DATA'!T58="","",'INPUT DATA'!T58)</f>
        <v/>
      </c>
      <c r="G113" s="163"/>
      <c r="H113" s="176" t="str">
        <f>IF('INPUT DATA'!S58="","",'INPUT DATA'!S58)</f>
        <v/>
      </c>
      <c r="I113" s="129" t="str">
        <f t="shared" si="4"/>
        <v/>
      </c>
      <c r="J113" s="132"/>
      <c r="K113" s="131"/>
      <c r="L113" s="130"/>
      <c r="M113" s="130"/>
      <c r="N113" s="130"/>
      <c r="O113" s="130"/>
      <c r="P113" s="174"/>
      <c r="Q113" s="174"/>
      <c r="R113" s="174"/>
      <c r="S113" s="174"/>
      <c r="T113" s="122" t="str">
        <f t="shared" si="5"/>
        <v/>
      </c>
      <c r="U113" s="123" t="str">
        <f t="shared" si="6"/>
        <v/>
      </c>
      <c r="V113" s="17"/>
      <c r="W113" s="17"/>
      <c r="X113" s="17"/>
      <c r="Y113" s="17"/>
      <c r="Z113" s="17"/>
      <c r="AA113" s="17"/>
      <c r="AB113" s="17"/>
      <c r="AC113" s="17"/>
      <c r="AD113" s="17"/>
      <c r="AE113" s="17"/>
      <c r="AF113" s="17"/>
    </row>
    <row r="114" ht="15.75" customHeight="1">
      <c r="A114" s="17"/>
      <c r="B114" s="135">
        <v>49.0</v>
      </c>
      <c r="C114" s="170" t="str">
        <f>IF('INPUT DATA'!Q59="","",'INPUT DATA'!Q59)</f>
        <v/>
      </c>
      <c r="D114" s="172"/>
      <c r="E114" s="163"/>
      <c r="F114" s="177" t="str">
        <f>IF('INPUT DATA'!T59="","",'INPUT DATA'!T59)</f>
        <v/>
      </c>
      <c r="G114" s="163"/>
      <c r="H114" s="176" t="str">
        <f>IF('INPUT DATA'!S59="","",'INPUT DATA'!S59)</f>
        <v/>
      </c>
      <c r="I114" s="129" t="str">
        <f t="shared" si="4"/>
        <v/>
      </c>
      <c r="J114" s="132"/>
      <c r="K114" s="131"/>
      <c r="L114" s="130"/>
      <c r="M114" s="130"/>
      <c r="N114" s="130"/>
      <c r="O114" s="130"/>
      <c r="P114" s="174"/>
      <c r="Q114" s="174"/>
      <c r="R114" s="174"/>
      <c r="S114" s="174"/>
      <c r="T114" s="122" t="str">
        <f t="shared" si="5"/>
        <v/>
      </c>
      <c r="U114" s="123" t="str">
        <f t="shared" si="6"/>
        <v/>
      </c>
      <c r="V114" s="17"/>
      <c r="W114" s="17"/>
      <c r="X114" s="17"/>
      <c r="Y114" s="17"/>
      <c r="Z114" s="17"/>
      <c r="AA114" s="17"/>
      <c r="AB114" s="17"/>
      <c r="AC114" s="17"/>
      <c r="AD114" s="17"/>
      <c r="AE114" s="17"/>
      <c r="AF114" s="17"/>
    </row>
    <row r="115" ht="15.75" customHeight="1">
      <c r="A115" s="17"/>
      <c r="B115" s="138">
        <v>50.0</v>
      </c>
      <c r="C115" s="154" t="str">
        <f>IF('INPUT DATA'!Q60="","",'INPUT DATA'!Q60)</f>
        <v/>
      </c>
      <c r="D115" s="155"/>
      <c r="E115" s="156"/>
      <c r="F115" s="179" t="str">
        <f>IF('INPUT DATA'!T60="","",'INPUT DATA'!T60)</f>
        <v/>
      </c>
      <c r="G115" s="156"/>
      <c r="H115" s="180" t="str">
        <f>IF('INPUT DATA'!S60="","",'INPUT DATA'!S60)</f>
        <v/>
      </c>
      <c r="I115" s="182" t="str">
        <f t="shared" si="4"/>
        <v/>
      </c>
      <c r="J115" s="144"/>
      <c r="K115" s="145"/>
      <c r="L115" s="146"/>
      <c r="M115" s="146"/>
      <c r="N115" s="146"/>
      <c r="O115" s="146"/>
      <c r="P115" s="183"/>
      <c r="Q115" s="183"/>
      <c r="R115" s="183"/>
      <c r="S115" s="183"/>
      <c r="T115" s="184" t="str">
        <f t="shared" si="5"/>
        <v/>
      </c>
      <c r="U115" s="185" t="str">
        <f t="shared" si="6"/>
        <v/>
      </c>
      <c r="V115" s="17"/>
      <c r="W115" s="17"/>
      <c r="X115" s="17"/>
      <c r="Y115" s="17"/>
      <c r="Z115" s="17"/>
      <c r="AA115" s="17"/>
      <c r="AB115" s="17"/>
      <c r="AC115" s="17"/>
      <c r="AD115" s="17"/>
      <c r="AE115" s="17"/>
      <c r="AF115" s="17"/>
    </row>
    <row r="116" ht="15.75" customHeight="1">
      <c r="A116" s="15"/>
      <c r="B116" s="15"/>
      <c r="C116" s="13"/>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15"/>
      <c r="C117" s="13"/>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15"/>
      <c r="C118" s="13"/>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15"/>
      <c r="C119" s="13"/>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15"/>
      <c r="C120" s="13"/>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15"/>
      <c r="C121" s="13"/>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15"/>
      <c r="C122" s="13"/>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15"/>
      <c r="C123" s="13"/>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15"/>
      <c r="C124" s="13"/>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15"/>
      <c r="C125" s="13"/>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15"/>
      <c r="C126" s="13"/>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K5:M5"/>
    <mergeCell ref="E6:G6"/>
    <mergeCell ref="K6:M6"/>
    <mergeCell ref="T6:U6"/>
    <mergeCell ref="B8:U8"/>
    <mergeCell ref="H11:H13"/>
    <mergeCell ref="I11:I13"/>
    <mergeCell ref="B9:E10"/>
    <mergeCell ref="G9:K9"/>
    <mergeCell ref="L9:M10"/>
    <mergeCell ref="G10:K10"/>
    <mergeCell ref="B11:E13"/>
    <mergeCell ref="F11:G13"/>
    <mergeCell ref="J11:J13"/>
    <mergeCell ref="N12:N13"/>
    <mergeCell ref="O12:O13"/>
    <mergeCell ref="N9:U10"/>
    <mergeCell ref="K11:S11"/>
    <mergeCell ref="T11:T13"/>
    <mergeCell ref="U11:U13"/>
    <mergeCell ref="K12:K13"/>
    <mergeCell ref="L12:L13"/>
    <mergeCell ref="M12:M13"/>
    <mergeCell ref="R12:S12"/>
    <mergeCell ref="P12:P13"/>
    <mergeCell ref="Q12:Q13"/>
    <mergeCell ref="B14:U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FD7DC"/>
    <pageSetUpPr/>
  </sheetPr>
  <sheetViews>
    <sheetView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9" max="10" width="5.13"/>
    <col customWidth="1" min="11" max="11" width="9.0"/>
    <col customWidth="1" min="12" max="12" width="9.38"/>
    <col customWidth="1" min="13" max="13" width="12.75"/>
    <col customWidth="1" min="14" max="14" width="11.38"/>
    <col customWidth="1" min="15" max="18" width="9.5"/>
    <col customWidth="1" min="19" max="19" width="11.88"/>
    <col customWidth="1" min="22" max="22" width="3.88"/>
  </cols>
  <sheetData>
    <row r="1" ht="15.75" customHeight="1">
      <c r="A1" s="10" t="s">
        <v>56</v>
      </c>
      <c r="W1" s="13"/>
      <c r="X1" s="13"/>
      <c r="Y1" s="13"/>
      <c r="Z1" s="13"/>
      <c r="AA1" s="13"/>
      <c r="AB1" s="13"/>
      <c r="AC1" s="13"/>
      <c r="AD1" s="13"/>
      <c r="AE1" s="13"/>
      <c r="AF1" s="13"/>
    </row>
    <row r="2" ht="15.75" customHeight="1">
      <c r="W2" s="13"/>
      <c r="X2" s="13"/>
      <c r="Y2" s="13"/>
      <c r="Z2" s="13"/>
      <c r="AA2" s="13"/>
      <c r="AB2" s="13"/>
      <c r="AC2" s="13"/>
      <c r="AD2" s="13"/>
      <c r="AE2" s="13"/>
      <c r="AF2" s="13"/>
    </row>
    <row r="3" ht="15.75" customHeight="1">
      <c r="W3" s="13"/>
      <c r="X3" s="13"/>
      <c r="Y3" s="13"/>
      <c r="Z3" s="13"/>
      <c r="AA3" s="13"/>
      <c r="AB3" s="13"/>
      <c r="AC3" s="13"/>
      <c r="AD3" s="13"/>
      <c r="AE3" s="13"/>
      <c r="AF3" s="13"/>
    </row>
    <row r="4" ht="15.75" customHeight="1">
      <c r="W4" s="15"/>
      <c r="X4" s="15"/>
      <c r="Y4" s="15"/>
      <c r="Z4" s="15"/>
      <c r="AA4" s="15"/>
      <c r="AB4" s="15"/>
      <c r="AC4" s="15"/>
      <c r="AD4" s="15"/>
      <c r="AE4" s="15"/>
      <c r="AF4" s="15"/>
    </row>
    <row r="5" ht="15.75" customHeight="1">
      <c r="A5" s="17"/>
      <c r="B5" s="19"/>
      <c r="C5" s="20"/>
      <c r="D5" s="21" t="s">
        <v>5</v>
      </c>
      <c r="E5" s="28" t="str">
        <f>'TERM 1 SUMMARY'!E5:G5</f>
        <v>NCR</v>
      </c>
      <c r="F5" s="29"/>
      <c r="G5" s="30"/>
      <c r="H5" s="31"/>
      <c r="I5" s="21" t="s">
        <v>8</v>
      </c>
      <c r="J5" s="21"/>
      <c r="K5" s="28" t="str">
        <f>'TERM 1 SUMMARY'!K5:M5</f>
        <v>LAS PINAS</v>
      </c>
      <c r="L5" s="29"/>
      <c r="M5" s="30"/>
      <c r="N5" s="37"/>
      <c r="O5" s="31"/>
      <c r="P5" s="31"/>
      <c r="Q5" s="31"/>
      <c r="R5" s="31"/>
      <c r="S5" s="31"/>
      <c r="T5" s="31"/>
      <c r="U5" s="31"/>
      <c r="V5" s="17"/>
      <c r="W5" s="17"/>
      <c r="X5" s="17"/>
      <c r="Y5" s="17"/>
      <c r="Z5" s="17"/>
      <c r="AA5" s="17"/>
      <c r="AB5" s="17"/>
      <c r="AC5" s="17"/>
      <c r="AD5" s="17"/>
      <c r="AE5" s="17"/>
      <c r="AF5" s="17"/>
    </row>
    <row r="6" ht="15.75" customHeight="1">
      <c r="A6" s="17"/>
      <c r="B6" s="19"/>
      <c r="C6" s="39"/>
      <c r="D6" s="21" t="s">
        <v>13</v>
      </c>
      <c r="E6" s="28" t="str">
        <f>'TERM 1 SUMMARY'!E6:G6</f>
        <v>LAS PINAS EAST NATIONAL HIGH SCHOOL</v>
      </c>
      <c r="F6" s="29"/>
      <c r="G6" s="30"/>
      <c r="H6" s="31"/>
      <c r="I6" s="21" t="s">
        <v>16</v>
      </c>
      <c r="J6" s="21"/>
      <c r="K6" s="47">
        <f>'TERM 1 SUMMARY'!K6:M6</f>
        <v>305434</v>
      </c>
      <c r="L6" s="29"/>
      <c r="M6" s="30"/>
      <c r="N6" s="48"/>
      <c r="O6" s="49"/>
      <c r="P6" s="49"/>
      <c r="Q6" s="49"/>
      <c r="R6" s="49"/>
      <c r="S6" s="21" t="s">
        <v>22</v>
      </c>
      <c r="T6" s="47" t="str">
        <f>'TERM 1 SUMMARY'!T6:U6</f>
        <v>2026-2027</v>
      </c>
      <c r="U6" s="30"/>
      <c r="V6" s="17"/>
      <c r="W6" s="17"/>
      <c r="X6" s="17"/>
      <c r="Y6" s="17"/>
      <c r="Z6" s="17"/>
      <c r="AA6" s="17"/>
      <c r="AB6" s="17"/>
      <c r="AC6" s="17"/>
      <c r="AD6" s="17"/>
      <c r="AE6" s="17"/>
      <c r="AF6" s="17"/>
    </row>
    <row r="7" ht="15.75" customHeight="1">
      <c r="A7" s="15"/>
      <c r="B7" s="53"/>
      <c r="C7" s="54"/>
      <c r="D7" s="54"/>
      <c r="E7" s="15"/>
      <c r="F7" s="15"/>
      <c r="G7" s="57"/>
      <c r="I7" s="15"/>
      <c r="J7" s="15"/>
      <c r="K7" s="15"/>
      <c r="L7" s="54"/>
      <c r="M7" s="15"/>
      <c r="N7" s="15"/>
      <c r="O7" s="54"/>
      <c r="P7" s="54"/>
      <c r="Q7" s="54"/>
      <c r="R7" s="54"/>
      <c r="S7" s="15"/>
      <c r="T7" s="54"/>
      <c r="U7" s="15"/>
      <c r="V7" s="15"/>
      <c r="W7" s="15"/>
      <c r="X7" s="15"/>
      <c r="Y7" s="15"/>
      <c r="Z7" s="15"/>
      <c r="AA7" s="15"/>
      <c r="AB7" s="15"/>
      <c r="AC7" s="15"/>
      <c r="AD7" s="15"/>
      <c r="AE7" s="15"/>
      <c r="AF7" s="15"/>
    </row>
    <row r="8" ht="15.75" customHeight="1">
      <c r="A8" s="15"/>
      <c r="B8" s="61"/>
      <c r="C8" s="29"/>
      <c r="D8" s="29"/>
      <c r="E8" s="29"/>
      <c r="F8" s="29"/>
      <c r="G8" s="29"/>
      <c r="H8" s="29"/>
      <c r="I8" s="29"/>
      <c r="J8" s="29"/>
      <c r="K8" s="29"/>
      <c r="L8" s="29"/>
      <c r="M8" s="29"/>
      <c r="N8" s="29"/>
      <c r="O8" s="29"/>
      <c r="P8" s="29"/>
      <c r="Q8" s="29"/>
      <c r="R8" s="29"/>
      <c r="S8" s="29"/>
      <c r="T8" s="29"/>
      <c r="U8" s="30"/>
      <c r="V8" s="15"/>
      <c r="W8" s="15"/>
      <c r="X8" s="15"/>
      <c r="Y8" s="15"/>
      <c r="Z8" s="15"/>
      <c r="AA8" s="15"/>
      <c r="AB8" s="15"/>
      <c r="AC8" s="15"/>
      <c r="AD8" s="15"/>
      <c r="AE8" s="15"/>
      <c r="AF8" s="15"/>
    </row>
    <row r="9" ht="15.75" customHeight="1">
      <c r="A9" s="13"/>
      <c r="B9" s="65" t="s">
        <v>57</v>
      </c>
      <c r="E9" s="68"/>
      <c r="F9" s="72" t="s">
        <v>25</v>
      </c>
      <c r="G9" s="74">
        <v>0.0</v>
      </c>
      <c r="H9" s="75"/>
      <c r="I9" s="75"/>
      <c r="J9" s="75"/>
      <c r="K9" s="76"/>
      <c r="L9" s="77" t="s">
        <v>30</v>
      </c>
      <c r="M9" s="68"/>
      <c r="N9" s="81">
        <v>0.0</v>
      </c>
      <c r="O9" s="12"/>
      <c r="P9" s="12"/>
      <c r="Q9" s="12"/>
      <c r="R9" s="12"/>
      <c r="S9" s="12"/>
      <c r="T9" s="12"/>
      <c r="U9" s="14"/>
      <c r="V9" s="13"/>
      <c r="W9" s="13"/>
      <c r="X9" s="13"/>
      <c r="Y9" s="13"/>
      <c r="Z9" s="13"/>
      <c r="AA9" s="13"/>
      <c r="AB9" s="13"/>
      <c r="AC9" s="13"/>
      <c r="AD9" s="13"/>
      <c r="AE9" s="13"/>
      <c r="AF9" s="13"/>
    </row>
    <row r="10" ht="15.75" customHeight="1">
      <c r="A10" s="13"/>
      <c r="B10" s="83"/>
      <c r="E10" s="68"/>
      <c r="F10" s="84" t="s">
        <v>31</v>
      </c>
      <c r="G10" s="74">
        <v>0.0</v>
      </c>
      <c r="H10" s="75"/>
      <c r="I10" s="75"/>
      <c r="J10" s="75"/>
      <c r="K10" s="76"/>
      <c r="L10" s="85"/>
      <c r="M10" s="76"/>
      <c r="N10" s="85"/>
      <c r="O10" s="75"/>
      <c r="P10" s="75"/>
      <c r="Q10" s="75"/>
      <c r="R10" s="75"/>
      <c r="S10" s="75"/>
      <c r="T10" s="75"/>
      <c r="U10" s="76"/>
      <c r="V10" s="13"/>
      <c r="W10" s="13"/>
      <c r="X10" s="13"/>
      <c r="Y10" s="13"/>
      <c r="Z10" s="13"/>
      <c r="AA10" s="13"/>
      <c r="AB10" s="13"/>
      <c r="AC10" s="13"/>
      <c r="AD10" s="13"/>
      <c r="AE10" s="13"/>
      <c r="AF10" s="13"/>
    </row>
    <row r="11" ht="14.25" customHeight="1">
      <c r="A11" s="15"/>
      <c r="B11" s="86" t="s">
        <v>33</v>
      </c>
      <c r="C11" s="12"/>
      <c r="D11" s="12"/>
      <c r="E11" s="14"/>
      <c r="F11" s="88" t="s">
        <v>10</v>
      </c>
      <c r="G11" s="14"/>
      <c r="H11" s="91" t="s">
        <v>34</v>
      </c>
      <c r="I11" s="91" t="s">
        <v>36</v>
      </c>
      <c r="J11" s="91" t="s">
        <v>37</v>
      </c>
      <c r="K11" s="92" t="s">
        <v>38</v>
      </c>
      <c r="L11" s="75"/>
      <c r="M11" s="75"/>
      <c r="N11" s="75"/>
      <c r="O11" s="75"/>
      <c r="P11" s="75"/>
      <c r="Q11" s="75"/>
      <c r="R11" s="75"/>
      <c r="S11" s="75"/>
      <c r="T11" s="94" t="s">
        <v>39</v>
      </c>
      <c r="U11" s="96" t="s">
        <v>41</v>
      </c>
      <c r="V11" s="37"/>
      <c r="W11" s="15"/>
      <c r="X11" s="15"/>
      <c r="Y11" s="15"/>
      <c r="Z11" s="15"/>
      <c r="AA11" s="15"/>
      <c r="AB11" s="15"/>
      <c r="AC11" s="15"/>
      <c r="AD11" s="15"/>
      <c r="AE11" s="15"/>
      <c r="AF11" s="15"/>
    </row>
    <row r="12" ht="14.25" customHeight="1">
      <c r="A12" s="15"/>
      <c r="B12" s="83"/>
      <c r="E12" s="68"/>
      <c r="F12" s="83"/>
      <c r="G12" s="68"/>
      <c r="H12" s="97"/>
      <c r="I12" s="97"/>
      <c r="J12" s="97"/>
      <c r="K12" s="91" t="s">
        <v>42</v>
      </c>
      <c r="L12" s="91" t="s">
        <v>43</v>
      </c>
      <c r="M12" s="91" t="s">
        <v>45</v>
      </c>
      <c r="N12" s="91" t="s">
        <v>46</v>
      </c>
      <c r="O12" s="91" t="s">
        <v>47</v>
      </c>
      <c r="P12" s="91" t="s">
        <v>48</v>
      </c>
      <c r="Q12" s="91" t="s">
        <v>49</v>
      </c>
      <c r="R12" s="102" t="s">
        <v>50</v>
      </c>
      <c r="S12" s="30"/>
      <c r="T12" s="97"/>
      <c r="U12" s="68"/>
      <c r="V12" s="37"/>
      <c r="W12" s="15"/>
      <c r="X12" s="15"/>
      <c r="Y12" s="15"/>
      <c r="Z12" s="15"/>
      <c r="AA12" s="15"/>
      <c r="AB12" s="15"/>
      <c r="AC12" s="15"/>
      <c r="AD12" s="15"/>
      <c r="AE12" s="15"/>
      <c r="AF12" s="15"/>
    </row>
    <row r="13" ht="15.75" customHeight="1">
      <c r="A13" s="15"/>
      <c r="B13" s="85"/>
      <c r="C13" s="75"/>
      <c r="D13" s="75"/>
      <c r="E13" s="76"/>
      <c r="F13" s="85"/>
      <c r="G13" s="76"/>
      <c r="H13" s="105"/>
      <c r="I13" s="105"/>
      <c r="J13" s="105"/>
      <c r="K13" s="105"/>
      <c r="L13" s="105"/>
      <c r="M13" s="105"/>
      <c r="N13" s="105"/>
      <c r="O13" s="105"/>
      <c r="P13" s="105"/>
      <c r="Q13" s="105"/>
      <c r="R13" s="106" t="s">
        <v>52</v>
      </c>
      <c r="S13" s="107" t="s">
        <v>53</v>
      </c>
      <c r="T13" s="105"/>
      <c r="U13" s="76"/>
      <c r="V13" s="37"/>
      <c r="W13" s="15"/>
      <c r="X13" s="15"/>
      <c r="Y13" s="15"/>
      <c r="Z13" s="15"/>
      <c r="AA13" s="15"/>
      <c r="AB13" s="15"/>
      <c r="AC13" s="15"/>
      <c r="AD13" s="15"/>
      <c r="AE13" s="15"/>
      <c r="AF13" s="15"/>
    </row>
    <row r="14" ht="15.75" customHeight="1">
      <c r="A14" s="17"/>
      <c r="B14" s="111"/>
      <c r="C14" s="29"/>
      <c r="D14" s="29"/>
      <c r="E14" s="29"/>
      <c r="F14" s="29"/>
      <c r="G14" s="29"/>
      <c r="H14" s="29"/>
      <c r="I14" s="29"/>
      <c r="J14" s="29"/>
      <c r="K14" s="29"/>
      <c r="L14" s="29"/>
      <c r="M14" s="29"/>
      <c r="N14" s="29"/>
      <c r="O14" s="29"/>
      <c r="P14" s="29"/>
      <c r="Q14" s="29"/>
      <c r="R14" s="29"/>
      <c r="S14" s="29"/>
      <c r="T14" s="29"/>
      <c r="U14" s="30"/>
      <c r="V14" s="17"/>
      <c r="W14" s="17"/>
      <c r="X14" s="17"/>
      <c r="Y14" s="17"/>
      <c r="Z14" s="17"/>
      <c r="AA14" s="17"/>
      <c r="AB14" s="17"/>
      <c r="AC14" s="17"/>
      <c r="AD14" s="17"/>
      <c r="AE14" s="17"/>
      <c r="AF14" s="17"/>
    </row>
    <row r="15" ht="15.75" customHeight="1">
      <c r="A15" s="17"/>
      <c r="B15" s="112">
        <v>1.0</v>
      </c>
      <c r="C15" s="113" t="str">
        <f>IF('INPUT DATA'!L11="","",'INPUT DATA'!L11)</f>
        <v>A</v>
      </c>
      <c r="D15" s="114"/>
      <c r="E15" s="115"/>
      <c r="F15" s="116">
        <f>IF('INPUT DATA'!M11="","",'INPUT DATA'!M11)</f>
        <v>123456789012</v>
      </c>
      <c r="G15" s="115"/>
      <c r="H15" s="117">
        <f>IF('INPUT DATA'!N11="","",'INPUT DATA'!N11)</f>
        <v>40355</v>
      </c>
      <c r="I15" s="118">
        <f>IF(H15="","",DATEDIF(H15,TODAY(),"Y"))</f>
        <v>16</v>
      </c>
      <c r="J15" s="119" t="s">
        <v>54</v>
      </c>
      <c r="K15" s="121"/>
      <c r="L15" s="121"/>
      <c r="M15" s="121"/>
      <c r="N15" s="121"/>
      <c r="O15" s="121"/>
      <c r="P15" s="121"/>
      <c r="Q15" s="121"/>
      <c r="R15" s="121"/>
      <c r="S15" s="121"/>
      <c r="T15" s="122" t="str">
        <f t="shared" ref="T15:T64" si="1">IF(COUNT(K15:S15)=0,"",ROUND((K15+L15+M15+N15+O15+S15)/6,0))</f>
        <v/>
      </c>
      <c r="U15" s="123" t="str">
        <f t="shared" ref="U15:U64" si="2">IF(T15="","",_xlfn.RANK.AVG(T15,$T$15:$T$115))</f>
        <v/>
      </c>
      <c r="V15" s="17"/>
      <c r="W15" s="17"/>
      <c r="X15" s="17"/>
      <c r="Y15" s="17"/>
      <c r="Z15" s="17"/>
      <c r="AA15" s="17"/>
      <c r="AB15" s="17"/>
      <c r="AC15" s="17"/>
      <c r="AD15" s="17"/>
      <c r="AE15" s="17"/>
      <c r="AF15" s="17"/>
    </row>
    <row r="16" ht="15.75" customHeight="1">
      <c r="A16" s="17"/>
      <c r="B16" s="125">
        <v>2.0</v>
      </c>
      <c r="C16" s="113" t="str">
        <f>IF('INPUT DATA'!L12="","",'INPUT DATA'!L12)</f>
        <v>B</v>
      </c>
      <c r="D16" s="114"/>
      <c r="E16" s="115"/>
      <c r="F16" s="116" t="s">
        <v>72</v>
      </c>
      <c r="G16" s="115"/>
      <c r="H16" s="128" t="s">
        <v>72</v>
      </c>
      <c r="I16" s="129" t="s">
        <v>72</v>
      </c>
      <c r="J16" s="130" t="s">
        <v>54</v>
      </c>
      <c r="K16" s="131"/>
      <c r="L16" s="130"/>
      <c r="M16" s="130"/>
      <c r="N16" s="130"/>
      <c r="O16" s="130"/>
      <c r="P16" s="130"/>
      <c r="Q16" s="130"/>
      <c r="R16" s="130"/>
      <c r="S16" s="130"/>
      <c r="T16" s="122" t="str">
        <f t="shared" si="1"/>
        <v/>
      </c>
      <c r="U16" s="123" t="str">
        <f t="shared" si="2"/>
        <v/>
      </c>
      <c r="V16" s="17"/>
      <c r="W16" s="17"/>
      <c r="X16" s="17"/>
      <c r="Y16" s="17"/>
      <c r="Z16" s="17"/>
      <c r="AA16" s="17"/>
      <c r="AB16" s="17"/>
      <c r="AC16" s="17"/>
      <c r="AD16" s="17"/>
      <c r="AE16" s="17"/>
      <c r="AF16" s="17"/>
    </row>
    <row r="17" ht="15.75" customHeight="1">
      <c r="A17" s="17"/>
      <c r="B17" s="125">
        <v>3.0</v>
      </c>
      <c r="C17" s="113" t="str">
        <f>IF('INPUT DATA'!L13="","",'INPUT DATA'!L13)</f>
        <v/>
      </c>
      <c r="D17" s="114"/>
      <c r="E17" s="115"/>
      <c r="F17" s="116" t="s">
        <v>72</v>
      </c>
      <c r="G17" s="115"/>
      <c r="H17" s="128" t="s">
        <v>72</v>
      </c>
      <c r="I17" s="129" t="s">
        <v>72</v>
      </c>
      <c r="J17" s="130" t="s">
        <v>54</v>
      </c>
      <c r="K17" s="131"/>
      <c r="L17" s="130"/>
      <c r="M17" s="130"/>
      <c r="N17" s="130"/>
      <c r="O17" s="130"/>
      <c r="P17" s="130"/>
      <c r="Q17" s="130"/>
      <c r="R17" s="130"/>
      <c r="S17" s="130"/>
      <c r="T17" s="122" t="str">
        <f t="shared" si="1"/>
        <v/>
      </c>
      <c r="U17" s="123" t="str">
        <f t="shared" si="2"/>
        <v/>
      </c>
      <c r="V17" s="17"/>
      <c r="W17" s="17"/>
      <c r="X17" s="17"/>
      <c r="Y17" s="17"/>
      <c r="Z17" s="17"/>
      <c r="AA17" s="17"/>
      <c r="AB17" s="17"/>
      <c r="AC17" s="17"/>
      <c r="AD17" s="17"/>
      <c r="AE17" s="17"/>
      <c r="AF17" s="17"/>
    </row>
    <row r="18" ht="15.75" customHeight="1">
      <c r="A18" s="17"/>
      <c r="B18" s="125">
        <v>4.0</v>
      </c>
      <c r="C18" s="113" t="str">
        <f>IF('INPUT DATA'!L14="","",'INPUT DATA'!L14)</f>
        <v/>
      </c>
      <c r="D18" s="114"/>
      <c r="E18" s="115"/>
      <c r="F18" s="116" t="s">
        <v>72</v>
      </c>
      <c r="G18" s="115"/>
      <c r="H18" s="128" t="s">
        <v>72</v>
      </c>
      <c r="I18" s="129" t="s">
        <v>72</v>
      </c>
      <c r="J18" s="130"/>
      <c r="K18" s="131"/>
      <c r="L18" s="130"/>
      <c r="M18" s="130"/>
      <c r="N18" s="130"/>
      <c r="O18" s="130"/>
      <c r="P18" s="130"/>
      <c r="Q18" s="130"/>
      <c r="R18" s="130"/>
      <c r="S18" s="130"/>
      <c r="T18" s="122" t="str">
        <f t="shared" si="1"/>
        <v/>
      </c>
      <c r="U18" s="123" t="str">
        <f t="shared" si="2"/>
        <v/>
      </c>
      <c r="V18" s="17"/>
      <c r="W18" s="17"/>
      <c r="X18" s="17"/>
      <c r="Y18" s="17"/>
      <c r="Z18" s="17"/>
      <c r="AA18" s="17"/>
      <c r="AB18" s="17"/>
      <c r="AC18" s="17"/>
      <c r="AD18" s="17"/>
      <c r="AE18" s="17"/>
      <c r="AF18" s="17"/>
    </row>
    <row r="19" ht="15.75" customHeight="1">
      <c r="A19" s="17"/>
      <c r="B19" s="125">
        <v>5.0</v>
      </c>
      <c r="C19" s="113" t="str">
        <f>IF('INPUT DATA'!L15="","",'INPUT DATA'!L15)</f>
        <v/>
      </c>
      <c r="D19" s="114"/>
      <c r="E19" s="115"/>
      <c r="F19" s="116" t="s">
        <v>72</v>
      </c>
      <c r="G19" s="115"/>
      <c r="H19" s="128" t="s">
        <v>72</v>
      </c>
      <c r="I19" s="129" t="s">
        <v>72</v>
      </c>
      <c r="J19" s="130"/>
      <c r="K19" s="131"/>
      <c r="L19" s="130"/>
      <c r="M19" s="130"/>
      <c r="N19" s="130"/>
      <c r="O19" s="130"/>
      <c r="P19" s="130"/>
      <c r="Q19" s="130"/>
      <c r="R19" s="130"/>
      <c r="S19" s="130"/>
      <c r="T19" s="122" t="str">
        <f t="shared" si="1"/>
        <v/>
      </c>
      <c r="U19" s="123" t="str">
        <f t="shared" si="2"/>
        <v/>
      </c>
      <c r="V19" s="17"/>
      <c r="W19" s="17"/>
      <c r="X19" s="17"/>
      <c r="Y19" s="17"/>
      <c r="Z19" s="17"/>
      <c r="AA19" s="17"/>
      <c r="AB19" s="17"/>
      <c r="AC19" s="17"/>
      <c r="AD19" s="17"/>
      <c r="AE19" s="17"/>
      <c r="AF19" s="17"/>
    </row>
    <row r="20" ht="15.75" customHeight="1">
      <c r="A20" s="17"/>
      <c r="B20" s="125">
        <v>6.0</v>
      </c>
      <c r="C20" s="113" t="str">
        <f>IF('INPUT DATA'!L16="","",'INPUT DATA'!L16)</f>
        <v/>
      </c>
      <c r="D20" s="114"/>
      <c r="E20" s="115"/>
      <c r="F20" s="116" t="s">
        <v>72</v>
      </c>
      <c r="G20" s="115"/>
      <c r="H20" s="128" t="s">
        <v>72</v>
      </c>
      <c r="I20" s="129" t="s">
        <v>72</v>
      </c>
      <c r="J20" s="130"/>
      <c r="K20" s="131"/>
      <c r="L20" s="130"/>
      <c r="M20" s="130"/>
      <c r="N20" s="130"/>
      <c r="O20" s="130"/>
      <c r="P20" s="130"/>
      <c r="Q20" s="130"/>
      <c r="R20" s="130"/>
      <c r="S20" s="130"/>
      <c r="T20" s="122" t="str">
        <f t="shared" si="1"/>
        <v/>
      </c>
      <c r="U20" s="123" t="str">
        <f t="shared" si="2"/>
        <v/>
      </c>
      <c r="V20" s="17"/>
      <c r="W20" s="17"/>
      <c r="X20" s="17"/>
      <c r="Y20" s="17"/>
      <c r="Z20" s="17"/>
      <c r="AA20" s="17"/>
      <c r="AB20" s="17"/>
      <c r="AC20" s="17"/>
      <c r="AD20" s="17"/>
      <c r="AE20" s="17"/>
      <c r="AF20" s="17"/>
    </row>
    <row r="21" ht="15.75" customHeight="1">
      <c r="A21" s="17"/>
      <c r="B21" s="125">
        <v>7.0</v>
      </c>
      <c r="C21" s="113" t="str">
        <f>IF('INPUT DATA'!L17="","",'INPUT DATA'!L17)</f>
        <v/>
      </c>
      <c r="D21" s="114"/>
      <c r="E21" s="115"/>
      <c r="F21" s="116" t="s">
        <v>72</v>
      </c>
      <c r="G21" s="115"/>
      <c r="H21" s="128" t="s">
        <v>72</v>
      </c>
      <c r="I21" s="129" t="s">
        <v>72</v>
      </c>
      <c r="J21" s="130"/>
      <c r="K21" s="131"/>
      <c r="L21" s="130"/>
      <c r="M21" s="130"/>
      <c r="N21" s="130"/>
      <c r="O21" s="130"/>
      <c r="P21" s="130"/>
      <c r="Q21" s="130"/>
      <c r="R21" s="130"/>
      <c r="S21" s="130"/>
      <c r="T21" s="122" t="str">
        <f t="shared" si="1"/>
        <v/>
      </c>
      <c r="U21" s="123" t="str">
        <f t="shared" si="2"/>
        <v/>
      </c>
      <c r="V21" s="17"/>
      <c r="W21" s="17"/>
      <c r="X21" s="17"/>
      <c r="Y21" s="17"/>
      <c r="Z21" s="17"/>
      <c r="AA21" s="17"/>
      <c r="AB21" s="17"/>
      <c r="AC21" s="17"/>
      <c r="AD21" s="17"/>
      <c r="AE21" s="17"/>
      <c r="AF21" s="17"/>
    </row>
    <row r="22" ht="15.75" customHeight="1">
      <c r="A22" s="17"/>
      <c r="B22" s="125">
        <v>8.0</v>
      </c>
      <c r="C22" s="113" t="str">
        <f>IF('INPUT DATA'!L18="","",'INPUT DATA'!L18)</f>
        <v/>
      </c>
      <c r="D22" s="114"/>
      <c r="E22" s="115"/>
      <c r="F22" s="116" t="s">
        <v>72</v>
      </c>
      <c r="G22" s="115"/>
      <c r="H22" s="128" t="s">
        <v>72</v>
      </c>
      <c r="I22" s="129" t="s">
        <v>72</v>
      </c>
      <c r="J22" s="130"/>
      <c r="K22" s="131"/>
      <c r="L22" s="130"/>
      <c r="M22" s="130"/>
      <c r="N22" s="130"/>
      <c r="O22" s="130"/>
      <c r="P22" s="130"/>
      <c r="Q22" s="130"/>
      <c r="R22" s="130"/>
      <c r="S22" s="130"/>
      <c r="T22" s="122" t="str">
        <f t="shared" si="1"/>
        <v/>
      </c>
      <c r="U22" s="123" t="str">
        <f t="shared" si="2"/>
        <v/>
      </c>
      <c r="V22" s="17"/>
      <c r="W22" s="17"/>
      <c r="X22" s="17"/>
      <c r="Y22" s="17"/>
      <c r="Z22" s="17"/>
      <c r="AA22" s="17"/>
      <c r="AB22" s="17"/>
      <c r="AC22" s="17"/>
      <c r="AD22" s="17"/>
      <c r="AE22" s="17"/>
      <c r="AF22" s="17"/>
    </row>
    <row r="23" ht="15.75" customHeight="1">
      <c r="A23" s="17"/>
      <c r="B23" s="125">
        <v>9.0</v>
      </c>
      <c r="C23" s="113" t="str">
        <f>IF('INPUT DATA'!L19="","",'INPUT DATA'!L19)</f>
        <v/>
      </c>
      <c r="D23" s="114"/>
      <c r="E23" s="115"/>
      <c r="F23" s="116" t="s">
        <v>72</v>
      </c>
      <c r="G23" s="115"/>
      <c r="H23" s="128" t="s">
        <v>72</v>
      </c>
      <c r="I23" s="129" t="s">
        <v>72</v>
      </c>
      <c r="J23" s="130"/>
      <c r="K23" s="131"/>
      <c r="L23" s="130"/>
      <c r="M23" s="130"/>
      <c r="N23" s="130"/>
      <c r="O23" s="130"/>
      <c r="P23" s="130"/>
      <c r="Q23" s="130"/>
      <c r="R23" s="130"/>
      <c r="S23" s="130"/>
      <c r="T23" s="122" t="str">
        <f t="shared" si="1"/>
        <v/>
      </c>
      <c r="U23" s="123" t="str">
        <f t="shared" si="2"/>
        <v/>
      </c>
      <c r="V23" s="17"/>
      <c r="W23" s="17"/>
      <c r="X23" s="17"/>
      <c r="Y23" s="17"/>
      <c r="Z23" s="17"/>
      <c r="AA23" s="17"/>
      <c r="AB23" s="17"/>
      <c r="AC23" s="17"/>
      <c r="AD23" s="17"/>
      <c r="AE23" s="17"/>
      <c r="AF23" s="17"/>
    </row>
    <row r="24" ht="15.75" customHeight="1">
      <c r="A24" s="17"/>
      <c r="B24" s="125">
        <v>10.0</v>
      </c>
      <c r="C24" s="113" t="str">
        <f>IF('INPUT DATA'!L20="","",'INPUT DATA'!L20)</f>
        <v/>
      </c>
      <c r="D24" s="114"/>
      <c r="E24" s="115"/>
      <c r="F24" s="116" t="s">
        <v>72</v>
      </c>
      <c r="G24" s="115"/>
      <c r="H24" s="128" t="s">
        <v>72</v>
      </c>
      <c r="I24" s="129" t="s">
        <v>72</v>
      </c>
      <c r="J24" s="130"/>
      <c r="K24" s="131"/>
      <c r="L24" s="130"/>
      <c r="M24" s="130"/>
      <c r="N24" s="130"/>
      <c r="O24" s="130"/>
      <c r="P24" s="130"/>
      <c r="Q24" s="130"/>
      <c r="R24" s="130"/>
      <c r="S24" s="130"/>
      <c r="T24" s="122" t="str">
        <f t="shared" si="1"/>
        <v/>
      </c>
      <c r="U24" s="123" t="str">
        <f t="shared" si="2"/>
        <v/>
      </c>
      <c r="V24" s="17"/>
      <c r="W24" s="17"/>
      <c r="X24" s="17"/>
      <c r="Y24" s="17"/>
      <c r="Z24" s="17"/>
      <c r="AA24" s="17"/>
      <c r="AB24" s="17"/>
      <c r="AC24" s="17"/>
      <c r="AD24" s="17"/>
      <c r="AE24" s="17"/>
      <c r="AF24" s="17"/>
    </row>
    <row r="25" ht="15.75" customHeight="1">
      <c r="A25" s="17"/>
      <c r="B25" s="125">
        <v>11.0</v>
      </c>
      <c r="C25" s="113" t="str">
        <f>IF('INPUT DATA'!L21="","",'INPUT DATA'!L21)</f>
        <v/>
      </c>
      <c r="D25" s="114"/>
      <c r="E25" s="115"/>
      <c r="F25" s="116" t="s">
        <v>72</v>
      </c>
      <c r="G25" s="115"/>
      <c r="H25" s="128" t="s">
        <v>72</v>
      </c>
      <c r="I25" s="129" t="s">
        <v>72</v>
      </c>
      <c r="J25" s="130"/>
      <c r="K25" s="131"/>
      <c r="L25" s="130"/>
      <c r="M25" s="130"/>
      <c r="N25" s="130"/>
      <c r="O25" s="130"/>
      <c r="P25" s="130"/>
      <c r="Q25" s="130"/>
      <c r="R25" s="130"/>
      <c r="S25" s="130"/>
      <c r="T25" s="122" t="str">
        <f t="shared" si="1"/>
        <v/>
      </c>
      <c r="U25" s="123" t="str">
        <f t="shared" si="2"/>
        <v/>
      </c>
      <c r="V25" s="17"/>
      <c r="W25" s="17"/>
      <c r="X25" s="17"/>
      <c r="Y25" s="17"/>
      <c r="Z25" s="17"/>
      <c r="AA25" s="17"/>
      <c r="AB25" s="17"/>
      <c r="AC25" s="17"/>
      <c r="AD25" s="17"/>
      <c r="AE25" s="17"/>
      <c r="AF25" s="17"/>
    </row>
    <row r="26" ht="15.75" customHeight="1">
      <c r="A26" s="17"/>
      <c r="B26" s="125">
        <v>12.0</v>
      </c>
      <c r="C26" s="113" t="str">
        <f>IF('INPUT DATA'!L22="","",'INPUT DATA'!L22)</f>
        <v/>
      </c>
      <c r="D26" s="114"/>
      <c r="E26" s="115"/>
      <c r="F26" s="116" t="s">
        <v>72</v>
      </c>
      <c r="G26" s="115"/>
      <c r="H26" s="128" t="s">
        <v>72</v>
      </c>
      <c r="I26" s="129" t="s">
        <v>72</v>
      </c>
      <c r="J26" s="130"/>
      <c r="K26" s="131"/>
      <c r="L26" s="130"/>
      <c r="M26" s="130"/>
      <c r="N26" s="130"/>
      <c r="O26" s="130"/>
      <c r="P26" s="130"/>
      <c r="Q26" s="130"/>
      <c r="R26" s="130"/>
      <c r="S26" s="130"/>
      <c r="T26" s="122" t="str">
        <f t="shared" si="1"/>
        <v/>
      </c>
      <c r="U26" s="123" t="str">
        <f t="shared" si="2"/>
        <v/>
      </c>
      <c r="V26" s="17"/>
      <c r="W26" s="17"/>
      <c r="X26" s="17"/>
      <c r="Y26" s="17"/>
      <c r="Z26" s="17"/>
      <c r="AA26" s="17"/>
      <c r="AB26" s="17"/>
      <c r="AC26" s="17"/>
      <c r="AD26" s="17"/>
      <c r="AE26" s="17"/>
      <c r="AF26" s="17"/>
    </row>
    <row r="27" ht="15.75" customHeight="1">
      <c r="A27" s="17"/>
      <c r="B27" s="125">
        <v>13.0</v>
      </c>
      <c r="C27" s="113" t="str">
        <f>IF('INPUT DATA'!L23="","",'INPUT DATA'!L23)</f>
        <v/>
      </c>
      <c r="D27" s="114"/>
      <c r="E27" s="115"/>
      <c r="F27" s="116" t="s">
        <v>72</v>
      </c>
      <c r="G27" s="115"/>
      <c r="H27" s="128" t="s">
        <v>72</v>
      </c>
      <c r="I27" s="129" t="s">
        <v>72</v>
      </c>
      <c r="J27" s="130"/>
      <c r="K27" s="131"/>
      <c r="L27" s="130"/>
      <c r="M27" s="130"/>
      <c r="N27" s="130"/>
      <c r="O27" s="130"/>
      <c r="P27" s="130"/>
      <c r="Q27" s="130"/>
      <c r="R27" s="130"/>
      <c r="S27" s="130"/>
      <c r="T27" s="122" t="str">
        <f t="shared" si="1"/>
        <v/>
      </c>
      <c r="U27" s="123" t="str">
        <f t="shared" si="2"/>
        <v/>
      </c>
      <c r="V27" s="17"/>
      <c r="W27" s="17"/>
      <c r="X27" s="17"/>
      <c r="Y27" s="17"/>
      <c r="Z27" s="17"/>
      <c r="AA27" s="17"/>
      <c r="AB27" s="17"/>
      <c r="AC27" s="17"/>
      <c r="AD27" s="17"/>
      <c r="AE27" s="17"/>
      <c r="AF27" s="17"/>
    </row>
    <row r="28" ht="15.75" customHeight="1">
      <c r="A28" s="17"/>
      <c r="B28" s="125">
        <v>14.0</v>
      </c>
      <c r="C28" s="113" t="str">
        <f>IF('INPUT DATA'!L24="","",'INPUT DATA'!L24)</f>
        <v/>
      </c>
      <c r="D28" s="114"/>
      <c r="E28" s="115"/>
      <c r="F28" s="116" t="s">
        <v>72</v>
      </c>
      <c r="G28" s="115"/>
      <c r="H28" s="128" t="s">
        <v>72</v>
      </c>
      <c r="I28" s="129" t="s">
        <v>72</v>
      </c>
      <c r="J28" s="130"/>
      <c r="K28" s="131"/>
      <c r="L28" s="130"/>
      <c r="M28" s="130"/>
      <c r="N28" s="130"/>
      <c r="O28" s="130"/>
      <c r="P28" s="130"/>
      <c r="Q28" s="130"/>
      <c r="R28" s="130"/>
      <c r="S28" s="130"/>
      <c r="T28" s="122" t="str">
        <f t="shared" si="1"/>
        <v/>
      </c>
      <c r="U28" s="123" t="str">
        <f t="shared" si="2"/>
        <v/>
      </c>
      <c r="V28" s="17"/>
      <c r="W28" s="17"/>
      <c r="X28" s="17"/>
      <c r="Y28" s="17"/>
      <c r="Z28" s="17"/>
      <c r="AA28" s="17"/>
      <c r="AB28" s="17"/>
      <c r="AC28" s="17"/>
      <c r="AD28" s="17"/>
      <c r="AE28" s="17"/>
      <c r="AF28" s="17"/>
    </row>
    <row r="29" ht="15.75" customHeight="1">
      <c r="A29" s="17"/>
      <c r="B29" s="125">
        <v>15.0</v>
      </c>
      <c r="C29" s="113" t="str">
        <f>IF('INPUT DATA'!L25="","",'INPUT DATA'!L25)</f>
        <v/>
      </c>
      <c r="D29" s="114"/>
      <c r="E29" s="115"/>
      <c r="F29" s="116" t="s">
        <v>72</v>
      </c>
      <c r="G29" s="115"/>
      <c r="H29" s="128" t="s">
        <v>72</v>
      </c>
      <c r="I29" s="129" t="s">
        <v>72</v>
      </c>
      <c r="J29" s="130"/>
      <c r="K29" s="131"/>
      <c r="L29" s="130"/>
      <c r="M29" s="130"/>
      <c r="N29" s="130"/>
      <c r="O29" s="130"/>
      <c r="P29" s="130"/>
      <c r="Q29" s="130"/>
      <c r="R29" s="130"/>
      <c r="S29" s="130"/>
      <c r="T29" s="122" t="str">
        <f t="shared" si="1"/>
        <v/>
      </c>
      <c r="U29" s="123" t="str">
        <f t="shared" si="2"/>
        <v/>
      </c>
      <c r="V29" s="17"/>
      <c r="W29" s="17"/>
      <c r="X29" s="17"/>
      <c r="Y29" s="17"/>
      <c r="Z29" s="17"/>
      <c r="AA29" s="17"/>
      <c r="AB29" s="17"/>
      <c r="AC29" s="17"/>
      <c r="AD29" s="17"/>
      <c r="AE29" s="17"/>
      <c r="AF29" s="17"/>
    </row>
    <row r="30" ht="15.75" customHeight="1">
      <c r="A30" s="17"/>
      <c r="B30" s="125">
        <v>16.0</v>
      </c>
      <c r="C30" s="113" t="str">
        <f>IF('INPUT DATA'!L26="","",'INPUT DATA'!L26)</f>
        <v/>
      </c>
      <c r="D30" s="114"/>
      <c r="E30" s="115"/>
      <c r="F30" s="116" t="s">
        <v>72</v>
      </c>
      <c r="G30" s="115"/>
      <c r="H30" s="128" t="s">
        <v>72</v>
      </c>
      <c r="I30" s="129" t="s">
        <v>72</v>
      </c>
      <c r="J30" s="130"/>
      <c r="K30" s="131"/>
      <c r="L30" s="130"/>
      <c r="M30" s="130"/>
      <c r="N30" s="130"/>
      <c r="O30" s="130"/>
      <c r="P30" s="130"/>
      <c r="Q30" s="130"/>
      <c r="R30" s="130"/>
      <c r="S30" s="130"/>
      <c r="T30" s="122" t="str">
        <f t="shared" si="1"/>
        <v/>
      </c>
      <c r="U30" s="123" t="str">
        <f t="shared" si="2"/>
        <v/>
      </c>
      <c r="V30" s="17"/>
      <c r="W30" s="17"/>
      <c r="X30" s="17"/>
      <c r="Y30" s="17"/>
      <c r="Z30" s="17"/>
      <c r="AA30" s="17"/>
      <c r="AB30" s="17"/>
      <c r="AC30" s="17"/>
      <c r="AD30" s="17"/>
      <c r="AE30" s="17"/>
      <c r="AF30" s="17"/>
    </row>
    <row r="31" ht="15.75" customHeight="1">
      <c r="A31" s="17"/>
      <c r="B31" s="125">
        <v>17.0</v>
      </c>
      <c r="C31" s="113" t="str">
        <f>IF('INPUT DATA'!L27="","",'INPUT DATA'!L27)</f>
        <v/>
      </c>
      <c r="D31" s="114"/>
      <c r="E31" s="115"/>
      <c r="F31" s="116" t="s">
        <v>72</v>
      </c>
      <c r="G31" s="115"/>
      <c r="H31" s="128" t="s">
        <v>72</v>
      </c>
      <c r="I31" s="129" t="s">
        <v>72</v>
      </c>
      <c r="J31" s="130"/>
      <c r="K31" s="131"/>
      <c r="L31" s="130"/>
      <c r="M31" s="130"/>
      <c r="N31" s="130"/>
      <c r="O31" s="130"/>
      <c r="P31" s="130"/>
      <c r="Q31" s="130"/>
      <c r="R31" s="130"/>
      <c r="S31" s="130"/>
      <c r="T31" s="122" t="str">
        <f t="shared" si="1"/>
        <v/>
      </c>
      <c r="U31" s="123" t="str">
        <f t="shared" si="2"/>
        <v/>
      </c>
      <c r="V31" s="17"/>
      <c r="W31" s="17"/>
      <c r="X31" s="17"/>
      <c r="Y31" s="17"/>
      <c r="Z31" s="17"/>
      <c r="AA31" s="17"/>
      <c r="AB31" s="17"/>
      <c r="AC31" s="17"/>
      <c r="AD31" s="17"/>
      <c r="AE31" s="17"/>
      <c r="AF31" s="17"/>
    </row>
    <row r="32" ht="15.75" customHeight="1">
      <c r="A32" s="17"/>
      <c r="B32" s="125">
        <v>18.0</v>
      </c>
      <c r="C32" s="113" t="str">
        <f>IF('INPUT DATA'!L28="","",'INPUT DATA'!L28)</f>
        <v/>
      </c>
      <c r="D32" s="114"/>
      <c r="E32" s="115"/>
      <c r="F32" s="116" t="s">
        <v>72</v>
      </c>
      <c r="G32" s="115"/>
      <c r="H32" s="128" t="s">
        <v>72</v>
      </c>
      <c r="I32" s="129" t="s">
        <v>72</v>
      </c>
      <c r="J32" s="130"/>
      <c r="K32" s="131"/>
      <c r="L32" s="130"/>
      <c r="M32" s="130"/>
      <c r="N32" s="130"/>
      <c r="O32" s="130"/>
      <c r="P32" s="130"/>
      <c r="Q32" s="130"/>
      <c r="R32" s="130"/>
      <c r="S32" s="130"/>
      <c r="T32" s="122" t="str">
        <f t="shared" si="1"/>
        <v/>
      </c>
      <c r="U32" s="123" t="str">
        <f t="shared" si="2"/>
        <v/>
      </c>
      <c r="V32" s="17"/>
      <c r="W32" s="17"/>
      <c r="X32" s="17"/>
      <c r="Y32" s="17"/>
      <c r="Z32" s="17"/>
      <c r="AA32" s="17"/>
      <c r="AB32" s="17"/>
      <c r="AC32" s="17"/>
      <c r="AD32" s="17"/>
      <c r="AE32" s="17"/>
      <c r="AF32" s="17"/>
    </row>
    <row r="33" ht="15.75" customHeight="1">
      <c r="A33" s="17"/>
      <c r="B33" s="125">
        <v>19.0</v>
      </c>
      <c r="C33" s="113" t="str">
        <f>IF('INPUT DATA'!L29="","",'INPUT DATA'!L29)</f>
        <v/>
      </c>
      <c r="D33" s="114"/>
      <c r="E33" s="115"/>
      <c r="F33" s="116" t="s">
        <v>72</v>
      </c>
      <c r="G33" s="115"/>
      <c r="H33" s="128" t="s">
        <v>72</v>
      </c>
      <c r="I33" s="129" t="s">
        <v>72</v>
      </c>
      <c r="J33" s="130"/>
      <c r="K33" s="131"/>
      <c r="L33" s="130"/>
      <c r="M33" s="130"/>
      <c r="N33" s="130"/>
      <c r="O33" s="130"/>
      <c r="P33" s="130"/>
      <c r="Q33" s="130"/>
      <c r="R33" s="130"/>
      <c r="S33" s="130"/>
      <c r="T33" s="122" t="str">
        <f t="shared" si="1"/>
        <v/>
      </c>
      <c r="U33" s="123" t="str">
        <f t="shared" si="2"/>
        <v/>
      </c>
      <c r="V33" s="17"/>
      <c r="W33" s="17"/>
      <c r="X33" s="17"/>
      <c r="Y33" s="17"/>
      <c r="Z33" s="17"/>
      <c r="AA33" s="17"/>
      <c r="AB33" s="17"/>
      <c r="AC33" s="17"/>
      <c r="AD33" s="17"/>
      <c r="AE33" s="17"/>
      <c r="AF33" s="17"/>
    </row>
    <row r="34" ht="15.75" customHeight="1">
      <c r="A34" s="17"/>
      <c r="B34" s="135">
        <v>20.0</v>
      </c>
      <c r="C34" s="113" t="str">
        <f>IF('INPUT DATA'!L30="","",'INPUT DATA'!L30)</f>
        <v/>
      </c>
      <c r="D34" s="114"/>
      <c r="E34" s="115"/>
      <c r="F34" s="116" t="s">
        <v>72</v>
      </c>
      <c r="G34" s="115"/>
      <c r="H34" s="128" t="s">
        <v>72</v>
      </c>
      <c r="I34" s="129" t="s">
        <v>72</v>
      </c>
      <c r="J34" s="130"/>
      <c r="K34" s="136"/>
      <c r="L34" s="137"/>
      <c r="M34" s="137"/>
      <c r="N34" s="137"/>
      <c r="O34" s="137"/>
      <c r="P34" s="137"/>
      <c r="Q34" s="137"/>
      <c r="R34" s="137"/>
      <c r="S34" s="137"/>
      <c r="T34" s="122" t="str">
        <f t="shared" si="1"/>
        <v/>
      </c>
      <c r="U34" s="123" t="str">
        <f t="shared" si="2"/>
        <v/>
      </c>
      <c r="V34" s="17"/>
      <c r="W34" s="17"/>
      <c r="X34" s="17"/>
      <c r="Y34" s="17"/>
      <c r="Z34" s="17"/>
      <c r="AA34" s="17"/>
      <c r="AB34" s="17"/>
      <c r="AC34" s="17"/>
      <c r="AD34" s="17"/>
      <c r="AE34" s="17"/>
      <c r="AF34" s="17"/>
    </row>
    <row r="35" ht="15.75" customHeight="1">
      <c r="A35" s="17"/>
      <c r="B35" s="135">
        <v>21.0</v>
      </c>
      <c r="C35" s="113" t="str">
        <f>IF('INPUT DATA'!L31="","",'INPUT DATA'!L31)</f>
        <v/>
      </c>
      <c r="D35" s="114"/>
      <c r="E35" s="115"/>
      <c r="F35" s="116" t="s">
        <v>72</v>
      </c>
      <c r="G35" s="115"/>
      <c r="H35" s="128" t="s">
        <v>72</v>
      </c>
      <c r="I35" s="129" t="s">
        <v>72</v>
      </c>
      <c r="J35" s="130"/>
      <c r="K35" s="131"/>
      <c r="L35" s="130"/>
      <c r="M35" s="130"/>
      <c r="N35" s="130"/>
      <c r="O35" s="130"/>
      <c r="P35" s="130"/>
      <c r="Q35" s="130"/>
      <c r="R35" s="130"/>
      <c r="S35" s="130"/>
      <c r="T35" s="122" t="str">
        <f t="shared" si="1"/>
        <v/>
      </c>
      <c r="U35" s="123" t="str">
        <f t="shared" si="2"/>
        <v/>
      </c>
      <c r="V35" s="17"/>
      <c r="W35" s="17"/>
      <c r="X35" s="17"/>
      <c r="Y35" s="17"/>
      <c r="Z35" s="17"/>
      <c r="AA35" s="17"/>
      <c r="AB35" s="17"/>
      <c r="AC35" s="17"/>
      <c r="AD35" s="17"/>
      <c r="AE35" s="17"/>
      <c r="AF35" s="17"/>
    </row>
    <row r="36" ht="15.75" customHeight="1">
      <c r="A36" s="17"/>
      <c r="B36" s="135">
        <v>22.0</v>
      </c>
      <c r="C36" s="113" t="str">
        <f>IF('INPUT DATA'!L32="","",'INPUT DATA'!L32)</f>
        <v/>
      </c>
      <c r="D36" s="114"/>
      <c r="E36" s="115"/>
      <c r="F36" s="116" t="s">
        <v>72</v>
      </c>
      <c r="G36" s="115"/>
      <c r="H36" s="128" t="s">
        <v>72</v>
      </c>
      <c r="I36" s="129" t="s">
        <v>72</v>
      </c>
      <c r="J36" s="130"/>
      <c r="K36" s="131"/>
      <c r="L36" s="130"/>
      <c r="M36" s="130"/>
      <c r="N36" s="130"/>
      <c r="O36" s="130"/>
      <c r="P36" s="130"/>
      <c r="Q36" s="130"/>
      <c r="R36" s="130"/>
      <c r="S36" s="130"/>
      <c r="T36" s="122" t="str">
        <f t="shared" si="1"/>
        <v/>
      </c>
      <c r="U36" s="123" t="str">
        <f t="shared" si="2"/>
        <v/>
      </c>
      <c r="V36" s="17"/>
      <c r="W36" s="17"/>
      <c r="X36" s="17"/>
      <c r="Y36" s="17"/>
      <c r="Z36" s="17"/>
      <c r="AA36" s="17"/>
      <c r="AB36" s="17"/>
      <c r="AC36" s="17"/>
      <c r="AD36" s="17"/>
      <c r="AE36" s="17"/>
      <c r="AF36" s="17"/>
    </row>
    <row r="37" ht="15.75" customHeight="1">
      <c r="A37" s="17"/>
      <c r="B37" s="135">
        <v>23.0</v>
      </c>
      <c r="C37" s="113" t="str">
        <f>IF('INPUT DATA'!L33="","",'INPUT DATA'!L33)</f>
        <v/>
      </c>
      <c r="D37" s="114"/>
      <c r="E37" s="115"/>
      <c r="F37" s="116" t="s">
        <v>72</v>
      </c>
      <c r="G37" s="115"/>
      <c r="H37" s="128" t="s">
        <v>72</v>
      </c>
      <c r="I37" s="129" t="s">
        <v>72</v>
      </c>
      <c r="J37" s="130"/>
      <c r="K37" s="131"/>
      <c r="L37" s="130"/>
      <c r="M37" s="130"/>
      <c r="N37" s="130"/>
      <c r="O37" s="130"/>
      <c r="P37" s="130"/>
      <c r="Q37" s="130"/>
      <c r="R37" s="130"/>
      <c r="S37" s="130"/>
      <c r="T37" s="122" t="str">
        <f t="shared" si="1"/>
        <v/>
      </c>
      <c r="U37" s="123" t="str">
        <f t="shared" si="2"/>
        <v/>
      </c>
      <c r="V37" s="17"/>
      <c r="W37" s="17"/>
      <c r="X37" s="17"/>
      <c r="Y37" s="17"/>
      <c r="Z37" s="17"/>
      <c r="AA37" s="17"/>
      <c r="AB37" s="17"/>
      <c r="AC37" s="17"/>
      <c r="AD37" s="17"/>
      <c r="AE37" s="17"/>
      <c r="AF37" s="17"/>
    </row>
    <row r="38" ht="15.75" customHeight="1">
      <c r="A38" s="17"/>
      <c r="B38" s="135">
        <v>24.0</v>
      </c>
      <c r="C38" s="113" t="str">
        <f>IF('INPUT DATA'!L34="","",'INPUT DATA'!L34)</f>
        <v/>
      </c>
      <c r="D38" s="114"/>
      <c r="E38" s="115"/>
      <c r="F38" s="116" t="s">
        <v>72</v>
      </c>
      <c r="G38" s="115"/>
      <c r="H38" s="128" t="s">
        <v>72</v>
      </c>
      <c r="I38" s="129" t="s">
        <v>72</v>
      </c>
      <c r="J38" s="130"/>
      <c r="K38" s="131"/>
      <c r="L38" s="130"/>
      <c r="M38" s="130"/>
      <c r="N38" s="130"/>
      <c r="O38" s="130"/>
      <c r="P38" s="130"/>
      <c r="Q38" s="130"/>
      <c r="R38" s="130"/>
      <c r="S38" s="130"/>
      <c r="T38" s="122" t="str">
        <f t="shared" si="1"/>
        <v/>
      </c>
      <c r="U38" s="123" t="str">
        <f t="shared" si="2"/>
        <v/>
      </c>
      <c r="V38" s="17"/>
      <c r="W38" s="17"/>
      <c r="X38" s="17"/>
      <c r="Y38" s="17"/>
      <c r="Z38" s="17"/>
      <c r="AA38" s="17"/>
      <c r="AB38" s="17"/>
      <c r="AC38" s="17"/>
      <c r="AD38" s="17"/>
      <c r="AE38" s="17"/>
      <c r="AF38" s="17"/>
    </row>
    <row r="39" ht="15.75" customHeight="1">
      <c r="A39" s="17"/>
      <c r="B39" s="135">
        <v>25.0</v>
      </c>
      <c r="C39" s="113" t="str">
        <f>IF('INPUT DATA'!L35="","",'INPUT DATA'!L35)</f>
        <v/>
      </c>
      <c r="D39" s="114"/>
      <c r="E39" s="115"/>
      <c r="F39" s="116" t="s">
        <v>72</v>
      </c>
      <c r="G39" s="115"/>
      <c r="H39" s="128" t="s">
        <v>72</v>
      </c>
      <c r="I39" s="129" t="s">
        <v>72</v>
      </c>
      <c r="J39" s="130"/>
      <c r="K39" s="131"/>
      <c r="L39" s="130"/>
      <c r="M39" s="130"/>
      <c r="N39" s="130"/>
      <c r="O39" s="130"/>
      <c r="P39" s="130"/>
      <c r="Q39" s="130"/>
      <c r="R39" s="130"/>
      <c r="S39" s="130"/>
      <c r="T39" s="122" t="str">
        <f t="shared" si="1"/>
        <v/>
      </c>
      <c r="U39" s="123" t="str">
        <f t="shared" si="2"/>
        <v/>
      </c>
      <c r="V39" s="17"/>
      <c r="W39" s="17"/>
      <c r="X39" s="17"/>
      <c r="Y39" s="17"/>
      <c r="Z39" s="17"/>
      <c r="AA39" s="17"/>
      <c r="AB39" s="17"/>
      <c r="AC39" s="17"/>
      <c r="AD39" s="17"/>
      <c r="AE39" s="17"/>
      <c r="AF39" s="17"/>
    </row>
    <row r="40" ht="15.75" customHeight="1">
      <c r="A40" s="17"/>
      <c r="B40" s="135">
        <v>26.0</v>
      </c>
      <c r="C40" s="113" t="str">
        <f>IF('INPUT DATA'!L36="","",'INPUT DATA'!L36)</f>
        <v/>
      </c>
      <c r="D40" s="114"/>
      <c r="E40" s="115"/>
      <c r="F40" s="116" t="s">
        <v>72</v>
      </c>
      <c r="G40" s="115"/>
      <c r="H40" s="128" t="s">
        <v>72</v>
      </c>
      <c r="I40" s="129" t="s">
        <v>72</v>
      </c>
      <c r="J40" s="130"/>
      <c r="K40" s="131"/>
      <c r="L40" s="130"/>
      <c r="M40" s="130"/>
      <c r="N40" s="130"/>
      <c r="O40" s="130"/>
      <c r="P40" s="130"/>
      <c r="Q40" s="130"/>
      <c r="R40" s="130"/>
      <c r="S40" s="130"/>
      <c r="T40" s="122" t="str">
        <f t="shared" si="1"/>
        <v/>
      </c>
      <c r="U40" s="123" t="str">
        <f t="shared" si="2"/>
        <v/>
      </c>
      <c r="V40" s="17"/>
      <c r="W40" s="17"/>
      <c r="X40" s="17"/>
      <c r="Y40" s="17"/>
      <c r="Z40" s="17"/>
      <c r="AA40" s="17"/>
      <c r="AB40" s="17"/>
      <c r="AC40" s="17"/>
      <c r="AD40" s="17"/>
      <c r="AE40" s="17"/>
      <c r="AF40" s="17"/>
    </row>
    <row r="41" ht="15.75" customHeight="1">
      <c r="A41" s="17"/>
      <c r="B41" s="135">
        <v>27.0</v>
      </c>
      <c r="C41" s="113" t="str">
        <f>IF('INPUT DATA'!L37="","",'INPUT DATA'!L37)</f>
        <v/>
      </c>
      <c r="D41" s="114"/>
      <c r="E41" s="115"/>
      <c r="F41" s="116" t="s">
        <v>72</v>
      </c>
      <c r="G41" s="115"/>
      <c r="H41" s="128" t="s">
        <v>72</v>
      </c>
      <c r="I41" s="129" t="s">
        <v>72</v>
      </c>
      <c r="J41" s="130"/>
      <c r="K41" s="131"/>
      <c r="L41" s="130"/>
      <c r="M41" s="130"/>
      <c r="N41" s="130"/>
      <c r="O41" s="130"/>
      <c r="P41" s="130"/>
      <c r="Q41" s="130"/>
      <c r="R41" s="130"/>
      <c r="S41" s="130"/>
      <c r="T41" s="122" t="str">
        <f t="shared" si="1"/>
        <v/>
      </c>
      <c r="U41" s="123" t="str">
        <f t="shared" si="2"/>
        <v/>
      </c>
      <c r="V41" s="17"/>
      <c r="W41" s="17"/>
      <c r="X41" s="17"/>
      <c r="Y41" s="17"/>
      <c r="Z41" s="17"/>
      <c r="AA41" s="17"/>
      <c r="AB41" s="17"/>
      <c r="AC41" s="17"/>
      <c r="AD41" s="17"/>
      <c r="AE41" s="17"/>
      <c r="AF41" s="17"/>
    </row>
    <row r="42" ht="15.75" customHeight="1">
      <c r="A42" s="17"/>
      <c r="B42" s="135">
        <v>28.0</v>
      </c>
      <c r="C42" s="113" t="str">
        <f>IF('INPUT DATA'!L38="","",'INPUT DATA'!L38)</f>
        <v/>
      </c>
      <c r="D42" s="114"/>
      <c r="E42" s="115"/>
      <c r="F42" s="116" t="s">
        <v>72</v>
      </c>
      <c r="G42" s="115"/>
      <c r="H42" s="128" t="s">
        <v>72</v>
      </c>
      <c r="I42" s="129" t="s">
        <v>72</v>
      </c>
      <c r="J42" s="130"/>
      <c r="K42" s="131"/>
      <c r="L42" s="130"/>
      <c r="M42" s="130"/>
      <c r="N42" s="130"/>
      <c r="O42" s="130"/>
      <c r="P42" s="130"/>
      <c r="Q42" s="130"/>
      <c r="R42" s="130"/>
      <c r="S42" s="130"/>
      <c r="T42" s="122" t="str">
        <f t="shared" si="1"/>
        <v/>
      </c>
      <c r="U42" s="123" t="str">
        <f t="shared" si="2"/>
        <v/>
      </c>
      <c r="V42" s="17"/>
      <c r="W42" s="17"/>
      <c r="X42" s="17"/>
      <c r="Y42" s="17"/>
      <c r="Z42" s="17"/>
      <c r="AA42" s="17"/>
      <c r="AB42" s="17"/>
      <c r="AC42" s="17"/>
      <c r="AD42" s="17"/>
      <c r="AE42" s="17"/>
      <c r="AF42" s="17"/>
    </row>
    <row r="43" ht="15.75" customHeight="1">
      <c r="A43" s="17"/>
      <c r="B43" s="135">
        <v>29.0</v>
      </c>
      <c r="C43" s="113" t="str">
        <f>IF('INPUT DATA'!L39="","",'INPUT DATA'!L39)</f>
        <v/>
      </c>
      <c r="D43" s="114"/>
      <c r="E43" s="115"/>
      <c r="F43" s="116" t="s">
        <v>72</v>
      </c>
      <c r="G43" s="115"/>
      <c r="H43" s="128" t="s">
        <v>72</v>
      </c>
      <c r="I43" s="129" t="s">
        <v>72</v>
      </c>
      <c r="J43" s="130"/>
      <c r="K43" s="131"/>
      <c r="L43" s="130"/>
      <c r="M43" s="130"/>
      <c r="N43" s="130"/>
      <c r="O43" s="130"/>
      <c r="P43" s="130"/>
      <c r="Q43" s="130"/>
      <c r="R43" s="130"/>
      <c r="S43" s="130"/>
      <c r="T43" s="122" t="str">
        <f t="shared" si="1"/>
        <v/>
      </c>
      <c r="U43" s="123" t="str">
        <f t="shared" si="2"/>
        <v/>
      </c>
      <c r="V43" s="17"/>
      <c r="W43" s="17"/>
      <c r="X43" s="17"/>
      <c r="Y43" s="17"/>
      <c r="Z43" s="17"/>
      <c r="AA43" s="17"/>
      <c r="AB43" s="17"/>
      <c r="AC43" s="17"/>
      <c r="AD43" s="17"/>
      <c r="AE43" s="17"/>
      <c r="AF43" s="17"/>
    </row>
    <row r="44" ht="15.75" customHeight="1">
      <c r="A44" s="17"/>
      <c r="B44" s="135">
        <v>30.0</v>
      </c>
      <c r="C44" s="113" t="str">
        <f>IF('INPUT DATA'!L40="","",'INPUT DATA'!L40)</f>
        <v/>
      </c>
      <c r="D44" s="114"/>
      <c r="E44" s="115"/>
      <c r="F44" s="116" t="s">
        <v>72</v>
      </c>
      <c r="G44" s="115"/>
      <c r="H44" s="128" t="s">
        <v>72</v>
      </c>
      <c r="I44" s="129" t="s">
        <v>72</v>
      </c>
      <c r="J44" s="130"/>
      <c r="K44" s="131"/>
      <c r="L44" s="130"/>
      <c r="M44" s="130"/>
      <c r="N44" s="130"/>
      <c r="O44" s="130"/>
      <c r="P44" s="130"/>
      <c r="Q44" s="130"/>
      <c r="R44" s="130"/>
      <c r="S44" s="130"/>
      <c r="T44" s="122" t="str">
        <f t="shared" si="1"/>
        <v/>
      </c>
      <c r="U44" s="123" t="str">
        <f t="shared" si="2"/>
        <v/>
      </c>
      <c r="V44" s="17"/>
      <c r="W44" s="17"/>
      <c r="X44" s="17"/>
      <c r="Y44" s="17"/>
      <c r="Z44" s="17"/>
      <c r="AA44" s="17"/>
      <c r="AB44" s="17"/>
      <c r="AC44" s="17"/>
      <c r="AD44" s="17"/>
      <c r="AE44" s="17"/>
      <c r="AF44" s="17"/>
    </row>
    <row r="45" ht="15.75" customHeight="1">
      <c r="A45" s="17"/>
      <c r="B45" s="135">
        <v>31.0</v>
      </c>
      <c r="C45" s="113" t="str">
        <f>IF('INPUT DATA'!L41="","",'INPUT DATA'!L41)</f>
        <v/>
      </c>
      <c r="D45" s="114"/>
      <c r="E45" s="115"/>
      <c r="F45" s="116" t="s">
        <v>72</v>
      </c>
      <c r="G45" s="115"/>
      <c r="H45" s="128" t="s">
        <v>72</v>
      </c>
      <c r="I45" s="129" t="s">
        <v>72</v>
      </c>
      <c r="J45" s="130"/>
      <c r="K45" s="131"/>
      <c r="L45" s="130"/>
      <c r="M45" s="130"/>
      <c r="N45" s="130"/>
      <c r="O45" s="130"/>
      <c r="P45" s="130"/>
      <c r="Q45" s="130"/>
      <c r="R45" s="130"/>
      <c r="S45" s="130"/>
      <c r="T45" s="122" t="str">
        <f t="shared" si="1"/>
        <v/>
      </c>
      <c r="U45" s="123" t="str">
        <f t="shared" si="2"/>
        <v/>
      </c>
      <c r="V45" s="17"/>
      <c r="W45" s="17"/>
      <c r="X45" s="17"/>
      <c r="Y45" s="17"/>
      <c r="Z45" s="17"/>
      <c r="AA45" s="17"/>
      <c r="AB45" s="17"/>
      <c r="AC45" s="17"/>
      <c r="AD45" s="17"/>
      <c r="AE45" s="17"/>
      <c r="AF45" s="17"/>
    </row>
    <row r="46" ht="15.75" customHeight="1">
      <c r="A46" s="17"/>
      <c r="B46" s="135">
        <v>32.0</v>
      </c>
      <c r="C46" s="113" t="str">
        <f>IF('INPUT DATA'!L42="","",'INPUT DATA'!L42)</f>
        <v/>
      </c>
      <c r="D46" s="114"/>
      <c r="E46" s="115"/>
      <c r="F46" s="116" t="s">
        <v>72</v>
      </c>
      <c r="G46" s="115"/>
      <c r="H46" s="128" t="s">
        <v>72</v>
      </c>
      <c r="I46" s="129" t="s">
        <v>72</v>
      </c>
      <c r="J46" s="130"/>
      <c r="K46" s="131"/>
      <c r="L46" s="130"/>
      <c r="M46" s="130"/>
      <c r="N46" s="130"/>
      <c r="O46" s="130"/>
      <c r="P46" s="130"/>
      <c r="Q46" s="130"/>
      <c r="R46" s="130"/>
      <c r="S46" s="130"/>
      <c r="T46" s="122" t="str">
        <f t="shared" si="1"/>
        <v/>
      </c>
      <c r="U46" s="123" t="str">
        <f t="shared" si="2"/>
        <v/>
      </c>
      <c r="V46" s="17"/>
      <c r="W46" s="17"/>
      <c r="X46" s="17"/>
      <c r="Y46" s="17"/>
      <c r="Z46" s="17"/>
      <c r="AA46" s="17"/>
      <c r="AB46" s="17"/>
      <c r="AC46" s="17"/>
      <c r="AD46" s="17"/>
      <c r="AE46" s="17"/>
      <c r="AF46" s="17"/>
    </row>
    <row r="47" ht="15.75" customHeight="1">
      <c r="A47" s="17"/>
      <c r="B47" s="135">
        <v>33.0</v>
      </c>
      <c r="C47" s="113" t="str">
        <f>IF('INPUT DATA'!L43="","",'INPUT DATA'!L43)</f>
        <v/>
      </c>
      <c r="D47" s="114"/>
      <c r="E47" s="115"/>
      <c r="F47" s="116" t="s">
        <v>72</v>
      </c>
      <c r="G47" s="115"/>
      <c r="H47" s="128" t="s">
        <v>72</v>
      </c>
      <c r="I47" s="129" t="s">
        <v>72</v>
      </c>
      <c r="J47" s="130"/>
      <c r="K47" s="131"/>
      <c r="L47" s="130"/>
      <c r="M47" s="130"/>
      <c r="N47" s="130"/>
      <c r="O47" s="130"/>
      <c r="P47" s="130"/>
      <c r="Q47" s="130"/>
      <c r="R47" s="130"/>
      <c r="S47" s="130"/>
      <c r="T47" s="122" t="str">
        <f t="shared" si="1"/>
        <v/>
      </c>
      <c r="U47" s="123" t="str">
        <f t="shared" si="2"/>
        <v/>
      </c>
      <c r="V47" s="17"/>
      <c r="W47" s="17"/>
      <c r="X47" s="17"/>
      <c r="Y47" s="17"/>
      <c r="Z47" s="17"/>
      <c r="AA47" s="17"/>
      <c r="AB47" s="17"/>
      <c r="AC47" s="17"/>
      <c r="AD47" s="17"/>
      <c r="AE47" s="17"/>
      <c r="AF47" s="17"/>
    </row>
    <row r="48" ht="15.75" customHeight="1">
      <c r="A48" s="17"/>
      <c r="B48" s="135">
        <v>34.0</v>
      </c>
      <c r="C48" s="113" t="str">
        <f>IF('INPUT DATA'!L44="","",'INPUT DATA'!L44)</f>
        <v/>
      </c>
      <c r="D48" s="114"/>
      <c r="E48" s="115"/>
      <c r="F48" s="116" t="s">
        <v>72</v>
      </c>
      <c r="G48" s="115"/>
      <c r="H48" s="128" t="s">
        <v>72</v>
      </c>
      <c r="I48" s="129" t="s">
        <v>72</v>
      </c>
      <c r="J48" s="130"/>
      <c r="K48" s="131"/>
      <c r="L48" s="130"/>
      <c r="M48" s="130"/>
      <c r="N48" s="130"/>
      <c r="O48" s="130"/>
      <c r="P48" s="130"/>
      <c r="Q48" s="130"/>
      <c r="R48" s="130"/>
      <c r="S48" s="130"/>
      <c r="T48" s="122" t="str">
        <f t="shared" si="1"/>
        <v/>
      </c>
      <c r="U48" s="123" t="str">
        <f t="shared" si="2"/>
        <v/>
      </c>
      <c r="V48" s="17"/>
      <c r="W48" s="17"/>
      <c r="X48" s="17"/>
      <c r="Y48" s="17"/>
      <c r="Z48" s="17"/>
      <c r="AA48" s="17"/>
      <c r="AB48" s="17"/>
      <c r="AC48" s="17"/>
      <c r="AD48" s="17"/>
      <c r="AE48" s="17"/>
      <c r="AF48" s="17"/>
    </row>
    <row r="49" ht="15.75" customHeight="1">
      <c r="A49" s="17"/>
      <c r="B49" s="135">
        <v>35.0</v>
      </c>
      <c r="C49" s="113" t="str">
        <f>IF('INPUT DATA'!L45="","",'INPUT DATA'!L45)</f>
        <v/>
      </c>
      <c r="D49" s="114"/>
      <c r="E49" s="115"/>
      <c r="F49" s="116" t="s">
        <v>72</v>
      </c>
      <c r="G49" s="115"/>
      <c r="H49" s="128" t="s">
        <v>72</v>
      </c>
      <c r="I49" s="129" t="s">
        <v>72</v>
      </c>
      <c r="J49" s="130"/>
      <c r="K49" s="131"/>
      <c r="L49" s="130"/>
      <c r="M49" s="130"/>
      <c r="N49" s="130"/>
      <c r="O49" s="130"/>
      <c r="P49" s="130"/>
      <c r="Q49" s="130"/>
      <c r="R49" s="130"/>
      <c r="S49" s="130"/>
      <c r="T49" s="122" t="str">
        <f t="shared" si="1"/>
        <v/>
      </c>
      <c r="U49" s="123" t="str">
        <f t="shared" si="2"/>
        <v/>
      </c>
      <c r="V49" s="17"/>
      <c r="W49" s="17"/>
      <c r="X49" s="17"/>
      <c r="Y49" s="17"/>
      <c r="Z49" s="17"/>
      <c r="AA49" s="17"/>
      <c r="AB49" s="17"/>
      <c r="AC49" s="17"/>
      <c r="AD49" s="17"/>
      <c r="AE49" s="17"/>
      <c r="AF49" s="17"/>
    </row>
    <row r="50" ht="15.75" customHeight="1">
      <c r="A50" s="17"/>
      <c r="B50" s="135">
        <v>36.0</v>
      </c>
      <c r="C50" s="113" t="str">
        <f>IF('INPUT DATA'!L46="","",'INPUT DATA'!L46)</f>
        <v/>
      </c>
      <c r="D50" s="114"/>
      <c r="E50" s="115"/>
      <c r="F50" s="116" t="s">
        <v>72</v>
      </c>
      <c r="G50" s="115"/>
      <c r="H50" s="128" t="s">
        <v>72</v>
      </c>
      <c r="I50" s="129" t="s">
        <v>72</v>
      </c>
      <c r="J50" s="130"/>
      <c r="K50" s="131"/>
      <c r="L50" s="130"/>
      <c r="M50" s="130"/>
      <c r="N50" s="130"/>
      <c r="O50" s="130"/>
      <c r="P50" s="130"/>
      <c r="Q50" s="130"/>
      <c r="R50" s="130"/>
      <c r="S50" s="130"/>
      <c r="T50" s="122" t="str">
        <f t="shared" si="1"/>
        <v/>
      </c>
      <c r="U50" s="123" t="str">
        <f t="shared" si="2"/>
        <v/>
      </c>
      <c r="V50" s="17"/>
      <c r="W50" s="17"/>
      <c r="X50" s="17"/>
      <c r="Y50" s="17"/>
      <c r="Z50" s="17"/>
      <c r="AA50" s="17"/>
      <c r="AB50" s="17"/>
      <c r="AC50" s="17"/>
      <c r="AD50" s="17"/>
      <c r="AE50" s="17"/>
      <c r="AF50" s="17"/>
    </row>
    <row r="51" ht="15.75" customHeight="1">
      <c r="A51" s="17"/>
      <c r="B51" s="135">
        <v>37.0</v>
      </c>
      <c r="C51" s="113" t="str">
        <f>IF('INPUT DATA'!L47="","",'INPUT DATA'!L47)</f>
        <v/>
      </c>
      <c r="D51" s="114"/>
      <c r="E51" s="115"/>
      <c r="F51" s="116" t="s">
        <v>72</v>
      </c>
      <c r="G51" s="115"/>
      <c r="H51" s="128" t="s">
        <v>72</v>
      </c>
      <c r="I51" s="129" t="s">
        <v>72</v>
      </c>
      <c r="J51" s="130"/>
      <c r="K51" s="131"/>
      <c r="L51" s="130"/>
      <c r="M51" s="130"/>
      <c r="N51" s="130"/>
      <c r="O51" s="130"/>
      <c r="P51" s="130"/>
      <c r="Q51" s="130"/>
      <c r="R51" s="130"/>
      <c r="S51" s="130"/>
      <c r="T51" s="122" t="str">
        <f t="shared" si="1"/>
        <v/>
      </c>
      <c r="U51" s="123" t="str">
        <f t="shared" si="2"/>
        <v/>
      </c>
      <c r="V51" s="17"/>
      <c r="W51" s="17"/>
      <c r="X51" s="17"/>
      <c r="Y51" s="17"/>
      <c r="Z51" s="17"/>
      <c r="AA51" s="17"/>
      <c r="AB51" s="17"/>
      <c r="AC51" s="17"/>
      <c r="AD51" s="17"/>
      <c r="AE51" s="17"/>
      <c r="AF51" s="17"/>
    </row>
    <row r="52" ht="15.75" customHeight="1">
      <c r="A52" s="17"/>
      <c r="B52" s="135">
        <v>38.0</v>
      </c>
      <c r="C52" s="113" t="str">
        <f>IF('INPUT DATA'!L48="","",'INPUT DATA'!L48)</f>
        <v/>
      </c>
      <c r="D52" s="114"/>
      <c r="E52" s="115"/>
      <c r="F52" s="116" t="s">
        <v>72</v>
      </c>
      <c r="G52" s="115"/>
      <c r="H52" s="128" t="s">
        <v>72</v>
      </c>
      <c r="I52" s="129" t="s">
        <v>72</v>
      </c>
      <c r="J52" s="130"/>
      <c r="K52" s="131"/>
      <c r="L52" s="130"/>
      <c r="M52" s="130"/>
      <c r="N52" s="130"/>
      <c r="O52" s="130"/>
      <c r="P52" s="130"/>
      <c r="Q52" s="130"/>
      <c r="R52" s="130"/>
      <c r="S52" s="130"/>
      <c r="T52" s="122" t="str">
        <f t="shared" si="1"/>
        <v/>
      </c>
      <c r="U52" s="123" t="str">
        <f t="shared" si="2"/>
        <v/>
      </c>
      <c r="V52" s="17"/>
      <c r="W52" s="17"/>
      <c r="X52" s="17"/>
      <c r="Y52" s="17"/>
      <c r="Z52" s="17"/>
      <c r="AA52" s="17"/>
      <c r="AB52" s="17"/>
      <c r="AC52" s="17"/>
      <c r="AD52" s="17"/>
      <c r="AE52" s="17"/>
      <c r="AF52" s="17"/>
    </row>
    <row r="53" ht="15.75" customHeight="1">
      <c r="A53" s="17"/>
      <c r="B53" s="135">
        <v>39.0</v>
      </c>
      <c r="C53" s="113" t="str">
        <f>IF('INPUT DATA'!L49="","",'INPUT DATA'!L49)</f>
        <v/>
      </c>
      <c r="D53" s="114"/>
      <c r="E53" s="115"/>
      <c r="F53" s="116" t="s">
        <v>72</v>
      </c>
      <c r="G53" s="115"/>
      <c r="H53" s="128" t="s">
        <v>72</v>
      </c>
      <c r="I53" s="129" t="s">
        <v>72</v>
      </c>
      <c r="J53" s="130"/>
      <c r="K53" s="131"/>
      <c r="L53" s="130"/>
      <c r="M53" s="130"/>
      <c r="N53" s="130"/>
      <c r="O53" s="130"/>
      <c r="P53" s="130"/>
      <c r="Q53" s="130"/>
      <c r="R53" s="130"/>
      <c r="S53" s="130"/>
      <c r="T53" s="122" t="str">
        <f t="shared" si="1"/>
        <v/>
      </c>
      <c r="U53" s="123" t="str">
        <f t="shared" si="2"/>
        <v/>
      </c>
      <c r="V53" s="17"/>
      <c r="W53" s="17"/>
      <c r="X53" s="17"/>
      <c r="Y53" s="17"/>
      <c r="Z53" s="17"/>
      <c r="AA53" s="17"/>
      <c r="AB53" s="17"/>
      <c r="AC53" s="17"/>
      <c r="AD53" s="17"/>
      <c r="AE53" s="17"/>
      <c r="AF53" s="17"/>
    </row>
    <row r="54" ht="15.75" customHeight="1">
      <c r="A54" s="17"/>
      <c r="B54" s="135">
        <v>40.0</v>
      </c>
      <c r="C54" s="113" t="str">
        <f>IF('INPUT DATA'!L50="","",'INPUT DATA'!L50)</f>
        <v/>
      </c>
      <c r="D54" s="114"/>
      <c r="E54" s="115"/>
      <c r="F54" s="116" t="s">
        <v>72</v>
      </c>
      <c r="G54" s="115"/>
      <c r="H54" s="128" t="s">
        <v>72</v>
      </c>
      <c r="I54" s="129" t="s">
        <v>72</v>
      </c>
      <c r="J54" s="130"/>
      <c r="K54" s="131"/>
      <c r="L54" s="130"/>
      <c r="M54" s="130"/>
      <c r="N54" s="130"/>
      <c r="O54" s="130"/>
      <c r="P54" s="130"/>
      <c r="Q54" s="130"/>
      <c r="R54" s="130"/>
      <c r="S54" s="130"/>
      <c r="T54" s="122" t="str">
        <f t="shared" si="1"/>
        <v/>
      </c>
      <c r="U54" s="123" t="str">
        <f t="shared" si="2"/>
        <v/>
      </c>
      <c r="V54" s="17"/>
      <c r="W54" s="17"/>
      <c r="X54" s="17"/>
      <c r="Y54" s="17"/>
      <c r="Z54" s="17"/>
      <c r="AA54" s="17"/>
      <c r="AB54" s="17"/>
      <c r="AC54" s="17"/>
      <c r="AD54" s="17"/>
      <c r="AE54" s="17"/>
      <c r="AF54" s="17"/>
    </row>
    <row r="55" ht="15.75" customHeight="1">
      <c r="A55" s="17"/>
      <c r="B55" s="135">
        <v>41.0</v>
      </c>
      <c r="C55" s="113" t="str">
        <f>IF('INPUT DATA'!L51="","",'INPUT DATA'!L51)</f>
        <v/>
      </c>
      <c r="D55" s="114"/>
      <c r="E55" s="115"/>
      <c r="F55" s="116" t="s">
        <v>72</v>
      </c>
      <c r="G55" s="115"/>
      <c r="H55" s="128" t="s">
        <v>72</v>
      </c>
      <c r="I55" s="129" t="s">
        <v>72</v>
      </c>
      <c r="J55" s="130"/>
      <c r="K55" s="131"/>
      <c r="L55" s="130"/>
      <c r="M55" s="130"/>
      <c r="N55" s="130"/>
      <c r="O55" s="130"/>
      <c r="P55" s="130"/>
      <c r="Q55" s="130"/>
      <c r="R55" s="130"/>
      <c r="S55" s="130"/>
      <c r="T55" s="122" t="str">
        <f t="shared" si="1"/>
        <v/>
      </c>
      <c r="U55" s="123" t="str">
        <f t="shared" si="2"/>
        <v/>
      </c>
      <c r="V55" s="17"/>
      <c r="W55" s="17"/>
      <c r="X55" s="17"/>
      <c r="Y55" s="17"/>
      <c r="Z55" s="17"/>
      <c r="AA55" s="17"/>
      <c r="AB55" s="17"/>
      <c r="AC55" s="17"/>
      <c r="AD55" s="17"/>
      <c r="AE55" s="17"/>
      <c r="AF55" s="17"/>
    </row>
    <row r="56" ht="15.75" customHeight="1">
      <c r="A56" s="17"/>
      <c r="B56" s="135">
        <v>42.0</v>
      </c>
      <c r="C56" s="113" t="str">
        <f>IF('INPUT DATA'!L52="","",'INPUT DATA'!L52)</f>
        <v/>
      </c>
      <c r="D56" s="114"/>
      <c r="E56" s="115"/>
      <c r="F56" s="116" t="s">
        <v>72</v>
      </c>
      <c r="G56" s="115"/>
      <c r="H56" s="128" t="s">
        <v>72</v>
      </c>
      <c r="I56" s="129" t="s">
        <v>72</v>
      </c>
      <c r="J56" s="130"/>
      <c r="K56" s="131"/>
      <c r="L56" s="130"/>
      <c r="M56" s="130"/>
      <c r="N56" s="130"/>
      <c r="O56" s="130"/>
      <c r="P56" s="130"/>
      <c r="Q56" s="130"/>
      <c r="R56" s="130"/>
      <c r="S56" s="130"/>
      <c r="T56" s="122" t="str">
        <f t="shared" si="1"/>
        <v/>
      </c>
      <c r="U56" s="123" t="str">
        <f t="shared" si="2"/>
        <v/>
      </c>
      <c r="V56" s="17"/>
      <c r="W56" s="17"/>
      <c r="X56" s="17"/>
      <c r="Y56" s="17"/>
      <c r="Z56" s="17"/>
      <c r="AA56" s="17"/>
      <c r="AB56" s="17"/>
      <c r="AC56" s="17"/>
      <c r="AD56" s="17"/>
      <c r="AE56" s="17"/>
      <c r="AF56" s="17"/>
    </row>
    <row r="57" ht="15.75" customHeight="1">
      <c r="A57" s="17"/>
      <c r="B57" s="135">
        <v>43.0</v>
      </c>
      <c r="C57" s="113" t="str">
        <f>IF('INPUT DATA'!L53="","",'INPUT DATA'!L53)</f>
        <v/>
      </c>
      <c r="D57" s="114"/>
      <c r="E57" s="115"/>
      <c r="F57" s="116" t="s">
        <v>72</v>
      </c>
      <c r="G57" s="115"/>
      <c r="H57" s="128" t="s">
        <v>72</v>
      </c>
      <c r="I57" s="129" t="s">
        <v>72</v>
      </c>
      <c r="J57" s="130"/>
      <c r="K57" s="131"/>
      <c r="L57" s="130"/>
      <c r="M57" s="130"/>
      <c r="N57" s="130"/>
      <c r="O57" s="130"/>
      <c r="P57" s="130"/>
      <c r="Q57" s="130"/>
      <c r="R57" s="130"/>
      <c r="S57" s="130"/>
      <c r="T57" s="122" t="str">
        <f t="shared" si="1"/>
        <v/>
      </c>
      <c r="U57" s="123" t="str">
        <f t="shared" si="2"/>
        <v/>
      </c>
      <c r="V57" s="17"/>
      <c r="W57" s="17"/>
      <c r="X57" s="17"/>
      <c r="Y57" s="17"/>
      <c r="Z57" s="17"/>
      <c r="AA57" s="17"/>
      <c r="AB57" s="17"/>
      <c r="AC57" s="17"/>
      <c r="AD57" s="17"/>
      <c r="AE57" s="17"/>
      <c r="AF57" s="17"/>
    </row>
    <row r="58" ht="15.75" customHeight="1">
      <c r="A58" s="17"/>
      <c r="B58" s="135">
        <v>44.0</v>
      </c>
      <c r="C58" s="113" t="str">
        <f>IF('INPUT DATA'!L54="","",'INPUT DATA'!L54)</f>
        <v/>
      </c>
      <c r="D58" s="114"/>
      <c r="E58" s="115"/>
      <c r="F58" s="116" t="s">
        <v>72</v>
      </c>
      <c r="G58" s="115"/>
      <c r="H58" s="128" t="s">
        <v>72</v>
      </c>
      <c r="I58" s="129" t="s">
        <v>72</v>
      </c>
      <c r="J58" s="130"/>
      <c r="K58" s="131"/>
      <c r="L58" s="130"/>
      <c r="M58" s="130"/>
      <c r="N58" s="130"/>
      <c r="O58" s="130"/>
      <c r="P58" s="130"/>
      <c r="Q58" s="130"/>
      <c r="R58" s="130"/>
      <c r="S58" s="130"/>
      <c r="T58" s="122" t="str">
        <f t="shared" si="1"/>
        <v/>
      </c>
      <c r="U58" s="123" t="str">
        <f t="shared" si="2"/>
        <v/>
      </c>
      <c r="V58" s="17"/>
      <c r="W58" s="17"/>
      <c r="X58" s="17"/>
      <c r="Y58" s="17"/>
      <c r="Z58" s="17"/>
      <c r="AA58" s="17"/>
      <c r="AB58" s="17"/>
      <c r="AC58" s="17"/>
      <c r="AD58" s="17"/>
      <c r="AE58" s="17"/>
      <c r="AF58" s="17"/>
    </row>
    <row r="59" ht="15.75" customHeight="1">
      <c r="A59" s="17"/>
      <c r="B59" s="135">
        <v>45.0</v>
      </c>
      <c r="C59" s="113" t="str">
        <f>IF('INPUT DATA'!L55="","",'INPUT DATA'!L55)</f>
        <v/>
      </c>
      <c r="D59" s="114"/>
      <c r="E59" s="115"/>
      <c r="F59" s="116" t="s">
        <v>72</v>
      </c>
      <c r="G59" s="115"/>
      <c r="H59" s="128" t="s">
        <v>72</v>
      </c>
      <c r="I59" s="129" t="s">
        <v>72</v>
      </c>
      <c r="J59" s="130"/>
      <c r="K59" s="136"/>
      <c r="L59" s="137"/>
      <c r="M59" s="137"/>
      <c r="N59" s="137"/>
      <c r="O59" s="137"/>
      <c r="P59" s="137"/>
      <c r="Q59" s="137"/>
      <c r="R59" s="137"/>
      <c r="S59" s="137"/>
      <c r="T59" s="122" t="str">
        <f t="shared" si="1"/>
        <v/>
      </c>
      <c r="U59" s="123" t="str">
        <f t="shared" si="2"/>
        <v/>
      </c>
      <c r="V59" s="17"/>
      <c r="W59" s="17"/>
      <c r="X59" s="17"/>
      <c r="Y59" s="17"/>
      <c r="Z59" s="17"/>
      <c r="AA59" s="17"/>
      <c r="AB59" s="17"/>
      <c r="AC59" s="17"/>
      <c r="AD59" s="17"/>
      <c r="AE59" s="17"/>
      <c r="AF59" s="17"/>
    </row>
    <row r="60" ht="15.75" customHeight="1">
      <c r="A60" s="17"/>
      <c r="B60" s="135">
        <v>46.0</v>
      </c>
      <c r="C60" s="113" t="str">
        <f>IF('INPUT DATA'!L56="","",'INPUT DATA'!L56)</f>
        <v/>
      </c>
      <c r="D60" s="114"/>
      <c r="E60" s="115"/>
      <c r="F60" s="116" t="s">
        <v>72</v>
      </c>
      <c r="G60" s="115"/>
      <c r="H60" s="128" t="s">
        <v>72</v>
      </c>
      <c r="I60" s="129" t="s">
        <v>72</v>
      </c>
      <c r="J60" s="130"/>
      <c r="K60" s="131"/>
      <c r="L60" s="130"/>
      <c r="M60" s="130"/>
      <c r="N60" s="130"/>
      <c r="O60" s="130"/>
      <c r="P60" s="130"/>
      <c r="Q60" s="130"/>
      <c r="R60" s="130"/>
      <c r="S60" s="130"/>
      <c r="T60" s="122" t="str">
        <f t="shared" si="1"/>
        <v/>
      </c>
      <c r="U60" s="123" t="str">
        <f t="shared" si="2"/>
        <v/>
      </c>
      <c r="V60" s="17"/>
      <c r="W60" s="17"/>
      <c r="X60" s="17"/>
      <c r="Y60" s="17"/>
      <c r="Z60" s="17"/>
      <c r="AA60" s="17"/>
      <c r="AB60" s="17"/>
      <c r="AC60" s="17"/>
      <c r="AD60" s="17"/>
      <c r="AE60" s="17"/>
      <c r="AF60" s="17"/>
    </row>
    <row r="61" ht="15.75" customHeight="1">
      <c r="A61" s="17"/>
      <c r="B61" s="135">
        <v>47.0</v>
      </c>
      <c r="C61" s="113" t="str">
        <f>IF('INPUT DATA'!L57="","",'INPUT DATA'!L57)</f>
        <v/>
      </c>
      <c r="D61" s="114"/>
      <c r="E61" s="115"/>
      <c r="F61" s="116" t="s">
        <v>72</v>
      </c>
      <c r="G61" s="115"/>
      <c r="H61" s="128" t="s">
        <v>72</v>
      </c>
      <c r="I61" s="129" t="s">
        <v>72</v>
      </c>
      <c r="J61" s="130"/>
      <c r="K61" s="131"/>
      <c r="L61" s="130"/>
      <c r="M61" s="130"/>
      <c r="N61" s="130"/>
      <c r="O61" s="130"/>
      <c r="P61" s="130"/>
      <c r="Q61" s="130"/>
      <c r="R61" s="130"/>
      <c r="S61" s="130"/>
      <c r="T61" s="122" t="str">
        <f t="shared" si="1"/>
        <v/>
      </c>
      <c r="U61" s="123" t="str">
        <f t="shared" si="2"/>
        <v/>
      </c>
      <c r="V61" s="17"/>
      <c r="W61" s="17"/>
      <c r="X61" s="17"/>
      <c r="Y61" s="17"/>
      <c r="Z61" s="17"/>
      <c r="AA61" s="17"/>
      <c r="AB61" s="17"/>
      <c r="AC61" s="17"/>
      <c r="AD61" s="17"/>
      <c r="AE61" s="17"/>
      <c r="AF61" s="17"/>
    </row>
    <row r="62" ht="15.75" customHeight="1">
      <c r="A62" s="17"/>
      <c r="B62" s="135">
        <v>48.0</v>
      </c>
      <c r="C62" s="113" t="str">
        <f>IF('INPUT DATA'!L58="","",'INPUT DATA'!L58)</f>
        <v/>
      </c>
      <c r="D62" s="114"/>
      <c r="E62" s="115"/>
      <c r="F62" s="116" t="s">
        <v>72</v>
      </c>
      <c r="G62" s="115"/>
      <c r="H62" s="128" t="s">
        <v>72</v>
      </c>
      <c r="I62" s="129" t="s">
        <v>72</v>
      </c>
      <c r="J62" s="130"/>
      <c r="K62" s="131"/>
      <c r="L62" s="130"/>
      <c r="M62" s="130"/>
      <c r="N62" s="130"/>
      <c r="O62" s="130"/>
      <c r="P62" s="130"/>
      <c r="Q62" s="130"/>
      <c r="R62" s="130"/>
      <c r="S62" s="130"/>
      <c r="T62" s="122" t="str">
        <f t="shared" si="1"/>
        <v/>
      </c>
      <c r="U62" s="123" t="str">
        <f t="shared" si="2"/>
        <v/>
      </c>
      <c r="V62" s="17"/>
      <c r="W62" s="17"/>
      <c r="X62" s="17"/>
      <c r="Y62" s="17"/>
      <c r="Z62" s="17"/>
      <c r="AA62" s="17"/>
      <c r="AB62" s="17"/>
      <c r="AC62" s="17"/>
      <c r="AD62" s="17"/>
      <c r="AE62" s="17"/>
      <c r="AF62" s="17"/>
    </row>
    <row r="63" ht="15.75" customHeight="1">
      <c r="A63" s="17"/>
      <c r="B63" s="135">
        <v>49.0</v>
      </c>
      <c r="C63" s="113" t="str">
        <f>IF('INPUT DATA'!L59="","",'INPUT DATA'!L59)</f>
        <v/>
      </c>
      <c r="D63" s="114"/>
      <c r="E63" s="115"/>
      <c r="F63" s="116" t="s">
        <v>72</v>
      </c>
      <c r="G63" s="115"/>
      <c r="H63" s="128" t="s">
        <v>72</v>
      </c>
      <c r="I63" s="129" t="s">
        <v>72</v>
      </c>
      <c r="J63" s="130"/>
      <c r="K63" s="131"/>
      <c r="L63" s="130"/>
      <c r="M63" s="130"/>
      <c r="N63" s="130"/>
      <c r="O63" s="130"/>
      <c r="P63" s="130"/>
      <c r="Q63" s="130"/>
      <c r="R63" s="130"/>
      <c r="S63" s="130"/>
      <c r="T63" s="122" t="str">
        <f t="shared" si="1"/>
        <v/>
      </c>
      <c r="U63" s="123" t="str">
        <f t="shared" si="2"/>
        <v/>
      </c>
      <c r="V63" s="17"/>
      <c r="W63" s="17"/>
      <c r="X63" s="17"/>
      <c r="Y63" s="17"/>
      <c r="Z63" s="17"/>
      <c r="AA63" s="17"/>
      <c r="AB63" s="17"/>
      <c r="AC63" s="17"/>
      <c r="AD63" s="17"/>
      <c r="AE63" s="17"/>
      <c r="AF63" s="17"/>
    </row>
    <row r="64" ht="15.75" customHeight="1">
      <c r="A64" s="17"/>
      <c r="B64" s="138">
        <v>50.0</v>
      </c>
      <c r="C64" s="113" t="str">
        <f>IF('INPUT DATA'!L60="","",'INPUT DATA'!L60)</f>
        <v/>
      </c>
      <c r="D64" s="114"/>
      <c r="E64" s="115"/>
      <c r="F64" s="161" t="s">
        <v>72</v>
      </c>
      <c r="G64" s="156"/>
      <c r="H64" s="164" t="s">
        <v>72</v>
      </c>
      <c r="I64" s="129" t="s">
        <v>72</v>
      </c>
      <c r="J64" s="146"/>
      <c r="K64" s="145"/>
      <c r="L64" s="146"/>
      <c r="M64" s="146"/>
      <c r="N64" s="146"/>
      <c r="O64" s="146"/>
      <c r="P64" s="146"/>
      <c r="Q64" s="146"/>
      <c r="R64" s="146"/>
      <c r="S64" s="146"/>
      <c r="T64" s="122" t="str">
        <f t="shared" si="1"/>
        <v/>
      </c>
      <c r="U64" s="123" t="str">
        <f t="shared" si="2"/>
        <v/>
      </c>
      <c r="V64" s="17"/>
      <c r="W64" s="17"/>
      <c r="X64" s="17"/>
      <c r="Y64" s="17"/>
      <c r="Z64" s="17"/>
      <c r="AA64" s="17"/>
      <c r="AB64" s="17"/>
      <c r="AC64" s="17"/>
      <c r="AD64" s="17"/>
      <c r="AE64" s="17"/>
      <c r="AF64" s="17"/>
    </row>
    <row r="65" ht="15.75" customHeight="1">
      <c r="A65" s="17"/>
      <c r="B65" s="147" t="s">
        <v>12</v>
      </c>
      <c r="C65" s="148"/>
      <c r="D65" s="148"/>
      <c r="E65" s="148"/>
      <c r="F65" s="149"/>
      <c r="G65" s="149"/>
      <c r="H65" s="148"/>
      <c r="I65" s="150"/>
      <c r="J65" s="150"/>
      <c r="K65" s="150"/>
      <c r="L65" s="150"/>
      <c r="M65" s="150"/>
      <c r="N65" s="150"/>
      <c r="O65" s="150"/>
      <c r="P65" s="150"/>
      <c r="Q65" s="150"/>
      <c r="R65" s="150"/>
      <c r="S65" s="150"/>
      <c r="T65" s="152"/>
      <c r="U65" s="153"/>
      <c r="V65" s="17"/>
      <c r="W65" s="17"/>
      <c r="X65" s="17"/>
      <c r="Y65" s="17"/>
      <c r="Z65" s="17"/>
      <c r="AA65" s="17"/>
      <c r="AB65" s="17"/>
      <c r="AC65" s="17"/>
      <c r="AD65" s="17"/>
      <c r="AE65" s="17"/>
      <c r="AF65" s="17"/>
    </row>
    <row r="66" ht="15.75" customHeight="1">
      <c r="A66" s="17"/>
      <c r="B66" s="112">
        <v>1.0</v>
      </c>
      <c r="C66" s="157" t="str">
        <f>IF('INPUT DATA'!Q11="","",'INPUT DATA'!Q11)</f>
        <v/>
      </c>
      <c r="D66" s="158"/>
      <c r="E66" s="159"/>
      <c r="F66" s="162" t="str">
        <f>IF('INPUT DATA'!T11="","",'INPUT DATA'!T11)</f>
        <v/>
      </c>
      <c r="G66" s="163"/>
      <c r="H66" s="165" t="str">
        <f>IF('INPUT DATA'!S11="","",'INPUT DATA'!S11)</f>
        <v/>
      </c>
      <c r="I66" s="118" t="str">
        <f>IF(H66="","",DATEDIF(H66,TODAY(),"Y"))</f>
        <v/>
      </c>
      <c r="J66" s="119" t="s">
        <v>58</v>
      </c>
      <c r="K66" s="121"/>
      <c r="L66" s="119"/>
      <c r="M66" s="119"/>
      <c r="N66" s="119"/>
      <c r="O66" s="119"/>
      <c r="P66" s="166"/>
      <c r="Q66" s="166"/>
      <c r="R66" s="166"/>
      <c r="S66" s="166"/>
      <c r="T66" s="122" t="str">
        <f t="shared" ref="T66:T115" si="3">IF(COUNT(K66:S66)=0,"",ROUND((K66+L66+M66+N66+O66+S66)/6,0))</f>
        <v/>
      </c>
      <c r="U66" s="123" t="str">
        <f t="shared" ref="U66:U115" si="4">IF(T66="","",_xlfn.RANK.AVG(T66,$T$15:$T$115))</f>
        <v/>
      </c>
      <c r="V66" s="17"/>
      <c r="W66" s="17"/>
      <c r="X66" s="17"/>
      <c r="Y66" s="17"/>
      <c r="Z66" s="17"/>
      <c r="AA66" s="17"/>
      <c r="AB66" s="17"/>
      <c r="AC66" s="17"/>
      <c r="AD66" s="17"/>
      <c r="AE66" s="17"/>
      <c r="AF66" s="17"/>
    </row>
    <row r="67" ht="15.75" customHeight="1">
      <c r="A67" s="17"/>
      <c r="B67" s="125">
        <v>2.0</v>
      </c>
      <c r="C67" s="170" t="str">
        <f>IF('INPUT DATA'!Q12="","",'INPUT DATA'!Q12)</f>
        <v/>
      </c>
      <c r="D67" s="172"/>
      <c r="E67" s="163"/>
      <c r="F67" s="162" t="str">
        <f>IF('INPUT DATA'!T12="","",'INPUT DATA'!T12)</f>
        <v/>
      </c>
      <c r="G67" s="163"/>
      <c r="H67" s="173" t="str">
        <f>IF('INPUT DATA'!S12="","",'INPUT DATA'!S12)</f>
        <v/>
      </c>
      <c r="I67" s="129" t="s">
        <v>72</v>
      </c>
      <c r="J67" s="130" t="s">
        <v>58</v>
      </c>
      <c r="K67" s="131"/>
      <c r="L67" s="130"/>
      <c r="M67" s="130"/>
      <c r="N67" s="130"/>
      <c r="O67" s="130"/>
      <c r="P67" s="174"/>
      <c r="Q67" s="174"/>
      <c r="R67" s="174"/>
      <c r="S67" s="174"/>
      <c r="T67" s="122" t="str">
        <f t="shared" si="3"/>
        <v/>
      </c>
      <c r="U67" s="123" t="str">
        <f t="shared" si="4"/>
        <v/>
      </c>
      <c r="V67" s="17"/>
      <c r="W67" s="17"/>
      <c r="X67" s="17"/>
      <c r="Y67" s="17"/>
      <c r="Z67" s="17"/>
      <c r="AA67" s="17"/>
      <c r="AB67" s="17"/>
      <c r="AC67" s="17"/>
      <c r="AD67" s="17"/>
      <c r="AE67" s="17"/>
      <c r="AF67" s="17"/>
    </row>
    <row r="68" ht="15.75" customHeight="1">
      <c r="A68" s="17"/>
      <c r="B68" s="125">
        <v>3.0</v>
      </c>
      <c r="C68" s="170" t="str">
        <f>IF('INPUT DATA'!Q13="","",'INPUT DATA'!Q13)</f>
        <v/>
      </c>
      <c r="D68" s="172"/>
      <c r="E68" s="163"/>
      <c r="F68" s="162" t="str">
        <f>IF('INPUT DATA'!T13="","",'INPUT DATA'!T13)</f>
        <v/>
      </c>
      <c r="G68" s="163"/>
      <c r="H68" s="173" t="str">
        <f>IF('INPUT DATA'!S13="","",'INPUT DATA'!S13)</f>
        <v/>
      </c>
      <c r="I68" s="129" t="s">
        <v>72</v>
      </c>
      <c r="J68" s="130" t="s">
        <v>58</v>
      </c>
      <c r="K68" s="131"/>
      <c r="L68" s="130"/>
      <c r="M68" s="130"/>
      <c r="N68" s="130"/>
      <c r="O68" s="130"/>
      <c r="P68" s="174"/>
      <c r="Q68" s="174"/>
      <c r="R68" s="174"/>
      <c r="S68" s="174"/>
      <c r="T68" s="122" t="str">
        <f t="shared" si="3"/>
        <v/>
      </c>
      <c r="U68" s="123" t="str">
        <f t="shared" si="4"/>
        <v/>
      </c>
      <c r="V68" s="17"/>
      <c r="W68" s="17"/>
      <c r="X68" s="17"/>
      <c r="Y68" s="17"/>
      <c r="Z68" s="17"/>
      <c r="AA68" s="17"/>
      <c r="AB68" s="17"/>
      <c r="AC68" s="17"/>
      <c r="AD68" s="17"/>
      <c r="AE68" s="17"/>
      <c r="AF68" s="17"/>
    </row>
    <row r="69" ht="15.75" customHeight="1">
      <c r="A69" s="17"/>
      <c r="B69" s="125">
        <v>4.0</v>
      </c>
      <c r="C69" s="170" t="str">
        <f>IF('INPUT DATA'!Q14="","",'INPUT DATA'!Q14)</f>
        <v/>
      </c>
      <c r="D69" s="172"/>
      <c r="E69" s="163"/>
      <c r="F69" s="162" t="str">
        <f>IF('INPUT DATA'!T14="","",'INPUT DATA'!T14)</f>
        <v/>
      </c>
      <c r="G69" s="163"/>
      <c r="H69" s="173" t="str">
        <f>IF('INPUT DATA'!S14="","",'INPUT DATA'!S14)</f>
        <v/>
      </c>
      <c r="I69" s="129" t="s">
        <v>72</v>
      </c>
      <c r="J69" s="130"/>
      <c r="K69" s="131"/>
      <c r="L69" s="130"/>
      <c r="M69" s="130"/>
      <c r="N69" s="130"/>
      <c r="O69" s="130"/>
      <c r="P69" s="174"/>
      <c r="Q69" s="174"/>
      <c r="R69" s="174"/>
      <c r="S69" s="174"/>
      <c r="T69" s="122" t="str">
        <f t="shared" si="3"/>
        <v/>
      </c>
      <c r="U69" s="123" t="str">
        <f t="shared" si="4"/>
        <v/>
      </c>
      <c r="V69" s="17"/>
      <c r="W69" s="17"/>
      <c r="X69" s="17"/>
      <c r="Y69" s="17"/>
      <c r="Z69" s="17"/>
      <c r="AA69" s="17"/>
      <c r="AB69" s="17"/>
      <c r="AC69" s="17"/>
      <c r="AD69" s="17"/>
      <c r="AE69" s="17"/>
      <c r="AF69" s="17"/>
    </row>
    <row r="70" ht="15.75" customHeight="1">
      <c r="A70" s="17"/>
      <c r="B70" s="125">
        <v>5.0</v>
      </c>
      <c r="C70" s="170" t="str">
        <f>IF('INPUT DATA'!Q15="","",'INPUT DATA'!Q15)</f>
        <v/>
      </c>
      <c r="D70" s="172"/>
      <c r="E70" s="163"/>
      <c r="F70" s="162" t="str">
        <f>IF('INPUT DATA'!T15="","",'INPUT DATA'!T15)</f>
        <v/>
      </c>
      <c r="G70" s="163"/>
      <c r="H70" s="173" t="str">
        <f>IF('INPUT DATA'!S15="","",'INPUT DATA'!S15)</f>
        <v/>
      </c>
      <c r="I70" s="129" t="s">
        <v>72</v>
      </c>
      <c r="J70" s="130"/>
      <c r="K70" s="131"/>
      <c r="L70" s="130"/>
      <c r="M70" s="130"/>
      <c r="N70" s="130"/>
      <c r="O70" s="130"/>
      <c r="P70" s="174"/>
      <c r="Q70" s="174"/>
      <c r="R70" s="174"/>
      <c r="S70" s="174"/>
      <c r="T70" s="122" t="str">
        <f t="shared" si="3"/>
        <v/>
      </c>
      <c r="U70" s="123" t="str">
        <f t="shared" si="4"/>
        <v/>
      </c>
      <c r="V70" s="17"/>
      <c r="W70" s="17"/>
      <c r="X70" s="17"/>
      <c r="Y70" s="17"/>
      <c r="Z70" s="17"/>
      <c r="AA70" s="17"/>
      <c r="AB70" s="17"/>
      <c r="AC70" s="17"/>
      <c r="AD70" s="17"/>
      <c r="AE70" s="17"/>
      <c r="AF70" s="17"/>
    </row>
    <row r="71" ht="15.75" customHeight="1">
      <c r="A71" s="17"/>
      <c r="B71" s="125">
        <v>6.0</v>
      </c>
      <c r="C71" s="170" t="str">
        <f>IF('INPUT DATA'!Q16="","",'INPUT DATA'!Q16)</f>
        <v/>
      </c>
      <c r="D71" s="172"/>
      <c r="E71" s="163"/>
      <c r="F71" s="162" t="str">
        <f>IF('INPUT DATA'!T16="","",'INPUT DATA'!T16)</f>
        <v/>
      </c>
      <c r="G71" s="163"/>
      <c r="H71" s="173" t="str">
        <f>IF('INPUT DATA'!S16="","",'INPUT DATA'!S16)</f>
        <v/>
      </c>
      <c r="I71" s="129" t="s">
        <v>72</v>
      </c>
      <c r="J71" s="130"/>
      <c r="K71" s="131"/>
      <c r="L71" s="130"/>
      <c r="M71" s="130"/>
      <c r="N71" s="130"/>
      <c r="O71" s="130"/>
      <c r="P71" s="174"/>
      <c r="Q71" s="174"/>
      <c r="R71" s="174"/>
      <c r="S71" s="174"/>
      <c r="T71" s="122" t="str">
        <f t="shared" si="3"/>
        <v/>
      </c>
      <c r="U71" s="123" t="str">
        <f t="shared" si="4"/>
        <v/>
      </c>
      <c r="V71" s="17"/>
      <c r="W71" s="17"/>
      <c r="X71" s="17"/>
      <c r="Y71" s="17"/>
      <c r="Z71" s="17"/>
      <c r="AA71" s="17"/>
      <c r="AB71" s="17"/>
      <c r="AC71" s="17"/>
      <c r="AD71" s="17"/>
      <c r="AE71" s="17"/>
      <c r="AF71" s="17"/>
    </row>
    <row r="72" ht="15.75" customHeight="1">
      <c r="A72" s="17"/>
      <c r="B72" s="125">
        <v>7.0</v>
      </c>
      <c r="C72" s="170" t="str">
        <f>IF('INPUT DATA'!Q17="","",'INPUT DATA'!Q17)</f>
        <v/>
      </c>
      <c r="D72" s="172"/>
      <c r="E72" s="163"/>
      <c r="F72" s="162" t="str">
        <f>IF('INPUT DATA'!T17="","",'INPUT DATA'!T17)</f>
        <v/>
      </c>
      <c r="G72" s="163"/>
      <c r="H72" s="173" t="str">
        <f>IF('INPUT DATA'!S17="","",'INPUT DATA'!S17)</f>
        <v/>
      </c>
      <c r="I72" s="129" t="s">
        <v>72</v>
      </c>
      <c r="J72" s="130"/>
      <c r="K72" s="131"/>
      <c r="L72" s="130"/>
      <c r="M72" s="130"/>
      <c r="N72" s="130"/>
      <c r="O72" s="130"/>
      <c r="P72" s="174"/>
      <c r="Q72" s="174"/>
      <c r="R72" s="174"/>
      <c r="S72" s="174"/>
      <c r="T72" s="122" t="str">
        <f t="shared" si="3"/>
        <v/>
      </c>
      <c r="U72" s="123" t="str">
        <f t="shared" si="4"/>
        <v/>
      </c>
      <c r="V72" s="17"/>
      <c r="W72" s="17"/>
      <c r="X72" s="17"/>
      <c r="Y72" s="17"/>
      <c r="Z72" s="17"/>
      <c r="AA72" s="17"/>
      <c r="AB72" s="17"/>
      <c r="AC72" s="17"/>
      <c r="AD72" s="17"/>
      <c r="AE72" s="17"/>
      <c r="AF72" s="17"/>
    </row>
    <row r="73" ht="15.75" customHeight="1">
      <c r="A73" s="17"/>
      <c r="B73" s="125">
        <v>8.0</v>
      </c>
      <c r="C73" s="170" t="str">
        <f>IF('INPUT DATA'!Q18="","",'INPUT DATA'!Q18)</f>
        <v/>
      </c>
      <c r="D73" s="172"/>
      <c r="E73" s="163"/>
      <c r="F73" s="162" t="str">
        <f>IF('INPUT DATA'!T18="","",'INPUT DATA'!T18)</f>
        <v/>
      </c>
      <c r="G73" s="163"/>
      <c r="H73" s="173" t="str">
        <f>IF('INPUT DATA'!S18="","",'INPUT DATA'!S18)</f>
        <v/>
      </c>
      <c r="I73" s="129" t="s">
        <v>72</v>
      </c>
      <c r="J73" s="130"/>
      <c r="K73" s="131"/>
      <c r="L73" s="130"/>
      <c r="M73" s="130"/>
      <c r="N73" s="130"/>
      <c r="O73" s="130"/>
      <c r="P73" s="174"/>
      <c r="Q73" s="174"/>
      <c r="R73" s="174"/>
      <c r="S73" s="174"/>
      <c r="T73" s="122" t="str">
        <f t="shared" si="3"/>
        <v/>
      </c>
      <c r="U73" s="123" t="str">
        <f t="shared" si="4"/>
        <v/>
      </c>
      <c r="V73" s="17"/>
      <c r="W73" s="17"/>
      <c r="X73" s="17"/>
      <c r="Y73" s="17"/>
      <c r="Z73" s="17"/>
      <c r="AA73" s="17"/>
      <c r="AB73" s="17"/>
      <c r="AC73" s="17"/>
      <c r="AD73" s="17"/>
      <c r="AE73" s="17"/>
      <c r="AF73" s="17"/>
    </row>
    <row r="74" ht="15.75" customHeight="1">
      <c r="A74" s="17"/>
      <c r="B74" s="125">
        <v>9.0</v>
      </c>
      <c r="C74" s="170" t="str">
        <f>IF('INPUT DATA'!Q19="","",'INPUT DATA'!Q19)</f>
        <v/>
      </c>
      <c r="D74" s="172"/>
      <c r="E74" s="163"/>
      <c r="F74" s="162" t="str">
        <f>IF('INPUT DATA'!T19="","",'INPUT DATA'!T19)</f>
        <v/>
      </c>
      <c r="G74" s="163"/>
      <c r="H74" s="173" t="str">
        <f>IF('INPUT DATA'!S19="","",'INPUT DATA'!S19)</f>
        <v/>
      </c>
      <c r="I74" s="129" t="s">
        <v>72</v>
      </c>
      <c r="J74" s="130"/>
      <c r="K74" s="131"/>
      <c r="L74" s="130"/>
      <c r="M74" s="130"/>
      <c r="N74" s="130"/>
      <c r="O74" s="130"/>
      <c r="P74" s="174"/>
      <c r="Q74" s="174"/>
      <c r="R74" s="174"/>
      <c r="S74" s="174"/>
      <c r="T74" s="122" t="str">
        <f t="shared" si="3"/>
        <v/>
      </c>
      <c r="U74" s="123" t="str">
        <f t="shared" si="4"/>
        <v/>
      </c>
      <c r="V74" s="17"/>
      <c r="W74" s="17"/>
      <c r="X74" s="17"/>
      <c r="Y74" s="17"/>
      <c r="Z74" s="17"/>
      <c r="AA74" s="17"/>
      <c r="AB74" s="17"/>
      <c r="AC74" s="17"/>
      <c r="AD74" s="17"/>
      <c r="AE74" s="17"/>
      <c r="AF74" s="17"/>
    </row>
    <row r="75" ht="15.75" customHeight="1">
      <c r="A75" s="17"/>
      <c r="B75" s="125">
        <v>10.0</v>
      </c>
      <c r="C75" s="170" t="str">
        <f>IF('INPUT DATA'!Q20="","",'INPUT DATA'!Q20)</f>
        <v/>
      </c>
      <c r="D75" s="172"/>
      <c r="E75" s="163"/>
      <c r="F75" s="162" t="str">
        <f>IF('INPUT DATA'!T20="","",'INPUT DATA'!T20)</f>
        <v/>
      </c>
      <c r="G75" s="163"/>
      <c r="H75" s="173" t="str">
        <f>IF('INPUT DATA'!S20="","",'INPUT DATA'!S20)</f>
        <v/>
      </c>
      <c r="I75" s="129" t="s">
        <v>72</v>
      </c>
      <c r="J75" s="130"/>
      <c r="K75" s="131"/>
      <c r="L75" s="130"/>
      <c r="M75" s="130"/>
      <c r="N75" s="130"/>
      <c r="O75" s="130"/>
      <c r="P75" s="174"/>
      <c r="Q75" s="174"/>
      <c r="R75" s="174"/>
      <c r="S75" s="174"/>
      <c r="T75" s="122" t="str">
        <f t="shared" si="3"/>
        <v/>
      </c>
      <c r="U75" s="123" t="str">
        <f t="shared" si="4"/>
        <v/>
      </c>
      <c r="V75" s="17"/>
      <c r="W75" s="17"/>
      <c r="X75" s="17"/>
      <c r="Y75" s="17"/>
      <c r="Z75" s="17"/>
      <c r="AA75" s="17"/>
      <c r="AB75" s="17"/>
      <c r="AC75" s="17"/>
      <c r="AD75" s="17"/>
      <c r="AE75" s="17"/>
      <c r="AF75" s="17"/>
    </row>
    <row r="76" ht="15.75" customHeight="1">
      <c r="A76" s="17"/>
      <c r="B76" s="125">
        <v>11.0</v>
      </c>
      <c r="C76" s="170" t="str">
        <f>IF('INPUT DATA'!Q21="","",'INPUT DATA'!Q21)</f>
        <v/>
      </c>
      <c r="D76" s="172"/>
      <c r="E76" s="163"/>
      <c r="F76" s="162" t="str">
        <f>IF('INPUT DATA'!T21="","",'INPUT DATA'!T21)</f>
        <v/>
      </c>
      <c r="G76" s="163"/>
      <c r="H76" s="173" t="str">
        <f>IF('INPUT DATA'!S21="","",'INPUT DATA'!S21)</f>
        <v/>
      </c>
      <c r="I76" s="129" t="s">
        <v>72</v>
      </c>
      <c r="J76" s="130"/>
      <c r="K76" s="131"/>
      <c r="L76" s="130"/>
      <c r="M76" s="130"/>
      <c r="N76" s="130"/>
      <c r="O76" s="130"/>
      <c r="P76" s="174"/>
      <c r="Q76" s="174"/>
      <c r="R76" s="174"/>
      <c r="S76" s="174"/>
      <c r="T76" s="122" t="str">
        <f t="shared" si="3"/>
        <v/>
      </c>
      <c r="U76" s="123" t="str">
        <f t="shared" si="4"/>
        <v/>
      </c>
      <c r="V76" s="17"/>
      <c r="W76" s="17"/>
      <c r="X76" s="17"/>
      <c r="Y76" s="17"/>
      <c r="Z76" s="17"/>
      <c r="AA76" s="17"/>
      <c r="AB76" s="17"/>
      <c r="AC76" s="17"/>
      <c r="AD76" s="17"/>
      <c r="AE76" s="17"/>
      <c r="AF76" s="17"/>
    </row>
    <row r="77" ht="15.75" customHeight="1">
      <c r="A77" s="17"/>
      <c r="B77" s="125">
        <v>12.0</v>
      </c>
      <c r="C77" s="170" t="str">
        <f>IF('INPUT DATA'!Q22="","",'INPUT DATA'!Q22)</f>
        <v/>
      </c>
      <c r="D77" s="172"/>
      <c r="E77" s="163"/>
      <c r="F77" s="162" t="str">
        <f>IF('INPUT DATA'!T22="","",'INPUT DATA'!T22)</f>
        <v/>
      </c>
      <c r="G77" s="163"/>
      <c r="H77" s="173" t="str">
        <f>IF('INPUT DATA'!S22="","",'INPUT DATA'!S22)</f>
        <v/>
      </c>
      <c r="I77" s="129" t="s">
        <v>72</v>
      </c>
      <c r="J77" s="130"/>
      <c r="K77" s="131"/>
      <c r="L77" s="130"/>
      <c r="M77" s="130"/>
      <c r="N77" s="130"/>
      <c r="O77" s="130"/>
      <c r="P77" s="174"/>
      <c r="Q77" s="174"/>
      <c r="R77" s="174"/>
      <c r="S77" s="174"/>
      <c r="T77" s="122" t="str">
        <f t="shared" si="3"/>
        <v/>
      </c>
      <c r="U77" s="123" t="str">
        <f t="shared" si="4"/>
        <v/>
      </c>
      <c r="V77" s="17"/>
      <c r="W77" s="17"/>
      <c r="X77" s="17"/>
      <c r="Y77" s="17"/>
      <c r="Z77" s="17"/>
      <c r="AA77" s="17"/>
      <c r="AB77" s="17"/>
      <c r="AC77" s="17"/>
      <c r="AD77" s="17"/>
      <c r="AE77" s="17"/>
      <c r="AF77" s="17"/>
    </row>
    <row r="78" ht="15.75" customHeight="1">
      <c r="A78" s="17"/>
      <c r="B78" s="125">
        <v>13.0</v>
      </c>
      <c r="C78" s="170" t="str">
        <f>IF('INPUT DATA'!Q23="","",'INPUT DATA'!Q23)</f>
        <v/>
      </c>
      <c r="D78" s="172"/>
      <c r="E78" s="163"/>
      <c r="F78" s="162" t="str">
        <f>IF('INPUT DATA'!T23="","",'INPUT DATA'!T23)</f>
        <v/>
      </c>
      <c r="G78" s="163"/>
      <c r="H78" s="173" t="str">
        <f>IF('INPUT DATA'!S23="","",'INPUT DATA'!S23)</f>
        <v/>
      </c>
      <c r="I78" s="129" t="s">
        <v>72</v>
      </c>
      <c r="J78" s="130"/>
      <c r="K78" s="131"/>
      <c r="L78" s="130"/>
      <c r="M78" s="130"/>
      <c r="N78" s="130"/>
      <c r="O78" s="130"/>
      <c r="P78" s="174"/>
      <c r="Q78" s="174"/>
      <c r="R78" s="174"/>
      <c r="S78" s="174"/>
      <c r="T78" s="122" t="str">
        <f t="shared" si="3"/>
        <v/>
      </c>
      <c r="U78" s="123" t="str">
        <f t="shared" si="4"/>
        <v/>
      </c>
      <c r="V78" s="17"/>
      <c r="W78" s="17"/>
      <c r="X78" s="17"/>
      <c r="Y78" s="17"/>
      <c r="Z78" s="17"/>
      <c r="AA78" s="17"/>
      <c r="AB78" s="17"/>
      <c r="AC78" s="17"/>
      <c r="AD78" s="17"/>
      <c r="AE78" s="17"/>
      <c r="AF78" s="17"/>
    </row>
    <row r="79" ht="15.75" customHeight="1">
      <c r="A79" s="17"/>
      <c r="B79" s="125">
        <v>14.0</v>
      </c>
      <c r="C79" s="170" t="str">
        <f>IF('INPUT DATA'!Q24="","",'INPUT DATA'!Q24)</f>
        <v/>
      </c>
      <c r="D79" s="172"/>
      <c r="E79" s="163"/>
      <c r="F79" s="162" t="str">
        <f>IF('INPUT DATA'!T24="","",'INPUT DATA'!T24)</f>
        <v/>
      </c>
      <c r="G79" s="163"/>
      <c r="H79" s="173" t="str">
        <f>IF('INPUT DATA'!S24="","",'INPUT DATA'!S24)</f>
        <v/>
      </c>
      <c r="I79" s="129" t="s">
        <v>72</v>
      </c>
      <c r="J79" s="130"/>
      <c r="K79" s="131"/>
      <c r="L79" s="130"/>
      <c r="M79" s="130"/>
      <c r="N79" s="130"/>
      <c r="O79" s="130"/>
      <c r="P79" s="174"/>
      <c r="Q79" s="174"/>
      <c r="R79" s="174"/>
      <c r="S79" s="174"/>
      <c r="T79" s="122" t="str">
        <f t="shared" si="3"/>
        <v/>
      </c>
      <c r="U79" s="123" t="str">
        <f t="shared" si="4"/>
        <v/>
      </c>
      <c r="V79" s="17"/>
      <c r="W79" s="17"/>
      <c r="X79" s="17"/>
      <c r="Y79" s="17"/>
      <c r="Z79" s="17"/>
      <c r="AA79" s="17"/>
      <c r="AB79" s="17"/>
      <c r="AC79" s="17"/>
      <c r="AD79" s="17"/>
      <c r="AE79" s="17"/>
      <c r="AF79" s="17"/>
    </row>
    <row r="80" ht="15.75" customHeight="1">
      <c r="A80" s="17"/>
      <c r="B80" s="125">
        <v>15.0</v>
      </c>
      <c r="C80" s="170" t="str">
        <f>IF('INPUT DATA'!Q25="","",'INPUT DATA'!Q25)</f>
        <v/>
      </c>
      <c r="D80" s="172"/>
      <c r="E80" s="163"/>
      <c r="F80" s="162" t="str">
        <f>IF('INPUT DATA'!T25="","",'INPUT DATA'!T25)</f>
        <v/>
      </c>
      <c r="G80" s="163"/>
      <c r="H80" s="173" t="str">
        <f>IF('INPUT DATA'!S25="","",'INPUT DATA'!S25)</f>
        <v/>
      </c>
      <c r="I80" s="129" t="s">
        <v>72</v>
      </c>
      <c r="J80" s="130"/>
      <c r="K80" s="131"/>
      <c r="L80" s="130"/>
      <c r="M80" s="130"/>
      <c r="N80" s="130"/>
      <c r="O80" s="130"/>
      <c r="P80" s="174"/>
      <c r="Q80" s="174"/>
      <c r="R80" s="174"/>
      <c r="S80" s="174"/>
      <c r="T80" s="122" t="str">
        <f t="shared" si="3"/>
        <v/>
      </c>
      <c r="U80" s="123" t="str">
        <f t="shared" si="4"/>
        <v/>
      </c>
      <c r="V80" s="17"/>
      <c r="W80" s="17"/>
      <c r="X80" s="17"/>
      <c r="Y80" s="17"/>
      <c r="Z80" s="17"/>
      <c r="AA80" s="17"/>
      <c r="AB80" s="17"/>
      <c r="AC80" s="17"/>
      <c r="AD80" s="17"/>
      <c r="AE80" s="17"/>
      <c r="AF80" s="17"/>
    </row>
    <row r="81" ht="15.75" customHeight="1">
      <c r="A81" s="17"/>
      <c r="B81" s="125">
        <v>16.0</v>
      </c>
      <c r="C81" s="170" t="str">
        <f>IF('INPUT DATA'!Q26="","",'INPUT DATA'!Q26)</f>
        <v/>
      </c>
      <c r="D81" s="172"/>
      <c r="E81" s="163"/>
      <c r="F81" s="162" t="str">
        <f>IF('INPUT DATA'!T26="","",'INPUT DATA'!T26)</f>
        <v/>
      </c>
      <c r="G81" s="163"/>
      <c r="H81" s="173" t="str">
        <f>IF('INPUT DATA'!S26="","",'INPUT DATA'!S26)</f>
        <v/>
      </c>
      <c r="I81" s="129" t="s">
        <v>72</v>
      </c>
      <c r="J81" s="130"/>
      <c r="K81" s="131"/>
      <c r="L81" s="130"/>
      <c r="M81" s="130"/>
      <c r="N81" s="130"/>
      <c r="O81" s="130"/>
      <c r="P81" s="174"/>
      <c r="Q81" s="174"/>
      <c r="R81" s="174"/>
      <c r="S81" s="174"/>
      <c r="T81" s="122" t="str">
        <f t="shared" si="3"/>
        <v/>
      </c>
      <c r="U81" s="123" t="str">
        <f t="shared" si="4"/>
        <v/>
      </c>
      <c r="V81" s="17"/>
      <c r="W81" s="17"/>
      <c r="X81" s="17"/>
      <c r="Y81" s="17"/>
      <c r="Z81" s="17"/>
      <c r="AA81" s="17"/>
      <c r="AB81" s="17"/>
      <c r="AC81" s="17"/>
      <c r="AD81" s="17"/>
      <c r="AE81" s="17"/>
      <c r="AF81" s="17"/>
    </row>
    <row r="82" ht="15.75" customHeight="1">
      <c r="A82" s="17"/>
      <c r="B82" s="125">
        <v>17.0</v>
      </c>
      <c r="C82" s="170" t="str">
        <f>IF('INPUT DATA'!Q27="","",'INPUT DATA'!Q27)</f>
        <v/>
      </c>
      <c r="D82" s="172"/>
      <c r="E82" s="163"/>
      <c r="F82" s="162" t="str">
        <f>IF('INPUT DATA'!T27="","",'INPUT DATA'!T27)</f>
        <v/>
      </c>
      <c r="G82" s="163"/>
      <c r="H82" s="173" t="str">
        <f>IF('INPUT DATA'!S27="","",'INPUT DATA'!S27)</f>
        <v/>
      </c>
      <c r="I82" s="129" t="s">
        <v>72</v>
      </c>
      <c r="J82" s="130"/>
      <c r="K82" s="131"/>
      <c r="L82" s="130"/>
      <c r="M82" s="130"/>
      <c r="N82" s="130"/>
      <c r="O82" s="130"/>
      <c r="P82" s="174"/>
      <c r="Q82" s="174"/>
      <c r="R82" s="174"/>
      <c r="S82" s="174"/>
      <c r="T82" s="122" t="str">
        <f t="shared" si="3"/>
        <v/>
      </c>
      <c r="U82" s="123" t="str">
        <f t="shared" si="4"/>
        <v/>
      </c>
      <c r="V82" s="17"/>
      <c r="W82" s="17"/>
      <c r="X82" s="17"/>
      <c r="Y82" s="17"/>
      <c r="Z82" s="17"/>
      <c r="AA82" s="17"/>
      <c r="AB82" s="17"/>
      <c r="AC82" s="17"/>
      <c r="AD82" s="17"/>
      <c r="AE82" s="17"/>
      <c r="AF82" s="17"/>
    </row>
    <row r="83" ht="15.75" customHeight="1">
      <c r="A83" s="17"/>
      <c r="B83" s="125">
        <v>18.0</v>
      </c>
      <c r="C83" s="170" t="str">
        <f>IF('INPUT DATA'!Q28="","",'INPUT DATA'!Q28)</f>
        <v/>
      </c>
      <c r="D83" s="172"/>
      <c r="E83" s="163"/>
      <c r="F83" s="162" t="str">
        <f>IF('INPUT DATA'!T28="","",'INPUT DATA'!T28)</f>
        <v/>
      </c>
      <c r="G83" s="163"/>
      <c r="H83" s="173" t="str">
        <f>IF('INPUT DATA'!S28="","",'INPUT DATA'!S28)</f>
        <v/>
      </c>
      <c r="I83" s="129" t="s">
        <v>72</v>
      </c>
      <c r="J83" s="130"/>
      <c r="K83" s="131"/>
      <c r="L83" s="130"/>
      <c r="M83" s="130"/>
      <c r="N83" s="130"/>
      <c r="O83" s="130"/>
      <c r="P83" s="174"/>
      <c r="Q83" s="174"/>
      <c r="R83" s="174"/>
      <c r="S83" s="174"/>
      <c r="T83" s="122" t="str">
        <f t="shared" si="3"/>
        <v/>
      </c>
      <c r="U83" s="123" t="str">
        <f t="shared" si="4"/>
        <v/>
      </c>
      <c r="V83" s="17"/>
      <c r="W83" s="17"/>
      <c r="X83" s="17"/>
      <c r="Y83" s="17"/>
      <c r="Z83" s="17"/>
      <c r="AA83" s="17"/>
      <c r="AB83" s="17"/>
      <c r="AC83" s="17"/>
      <c r="AD83" s="17"/>
      <c r="AE83" s="17"/>
      <c r="AF83" s="17"/>
    </row>
    <row r="84" ht="15.75" customHeight="1">
      <c r="A84" s="17"/>
      <c r="B84" s="125">
        <v>19.0</v>
      </c>
      <c r="C84" s="170" t="str">
        <f>IF('INPUT DATA'!Q29="","",'INPUT DATA'!Q29)</f>
        <v/>
      </c>
      <c r="D84" s="172"/>
      <c r="E84" s="163"/>
      <c r="F84" s="162" t="str">
        <f>IF('INPUT DATA'!T29="","",'INPUT DATA'!T29)</f>
        <v/>
      </c>
      <c r="G84" s="163"/>
      <c r="H84" s="173" t="str">
        <f>IF('INPUT DATA'!S29="","",'INPUT DATA'!S29)</f>
        <v/>
      </c>
      <c r="I84" s="129" t="s">
        <v>72</v>
      </c>
      <c r="J84" s="130"/>
      <c r="K84" s="131"/>
      <c r="L84" s="130"/>
      <c r="M84" s="130"/>
      <c r="N84" s="130"/>
      <c r="O84" s="130"/>
      <c r="P84" s="174"/>
      <c r="Q84" s="174"/>
      <c r="R84" s="174"/>
      <c r="S84" s="174"/>
      <c r="T84" s="122" t="str">
        <f t="shared" si="3"/>
        <v/>
      </c>
      <c r="U84" s="123" t="str">
        <f t="shared" si="4"/>
        <v/>
      </c>
      <c r="V84" s="17"/>
      <c r="W84" s="17"/>
      <c r="X84" s="17"/>
      <c r="Y84" s="17"/>
      <c r="Z84" s="17"/>
      <c r="AA84" s="17"/>
      <c r="AB84" s="17"/>
      <c r="AC84" s="17"/>
      <c r="AD84" s="17"/>
      <c r="AE84" s="17"/>
      <c r="AF84" s="17"/>
    </row>
    <row r="85" ht="15.75" customHeight="1">
      <c r="A85" s="17"/>
      <c r="B85" s="135">
        <v>20.0</v>
      </c>
      <c r="C85" s="170" t="str">
        <f>IF('INPUT DATA'!Q30="","",'INPUT DATA'!Q30)</f>
        <v/>
      </c>
      <c r="D85" s="172"/>
      <c r="E85" s="163"/>
      <c r="F85" s="162" t="str">
        <f>IF('INPUT DATA'!T30="","",'INPUT DATA'!T30)</f>
        <v/>
      </c>
      <c r="G85" s="163"/>
      <c r="H85" s="173" t="str">
        <f>IF('INPUT DATA'!S30="","",'INPUT DATA'!S30)</f>
        <v/>
      </c>
      <c r="I85" s="129" t="s">
        <v>72</v>
      </c>
      <c r="J85" s="130"/>
      <c r="K85" s="136"/>
      <c r="L85" s="137"/>
      <c r="M85" s="137"/>
      <c r="N85" s="137"/>
      <c r="O85" s="137"/>
      <c r="P85" s="178"/>
      <c r="Q85" s="178"/>
      <c r="R85" s="178"/>
      <c r="S85" s="178"/>
      <c r="T85" s="122" t="str">
        <f t="shared" si="3"/>
        <v/>
      </c>
      <c r="U85" s="123" t="str">
        <f t="shared" si="4"/>
        <v/>
      </c>
      <c r="V85" s="17"/>
      <c r="W85" s="17"/>
      <c r="X85" s="17"/>
      <c r="Y85" s="17"/>
      <c r="Z85" s="17"/>
      <c r="AA85" s="17"/>
      <c r="AB85" s="17"/>
      <c r="AC85" s="17"/>
      <c r="AD85" s="17"/>
      <c r="AE85" s="17"/>
      <c r="AF85" s="17"/>
    </row>
    <row r="86" ht="15.75" customHeight="1">
      <c r="A86" s="17"/>
      <c r="B86" s="135">
        <v>21.0</v>
      </c>
      <c r="C86" s="170" t="str">
        <f>IF('INPUT DATA'!Q31="","",'INPUT DATA'!Q31)</f>
        <v/>
      </c>
      <c r="D86" s="172"/>
      <c r="E86" s="163"/>
      <c r="F86" s="162" t="str">
        <f>IF('INPUT DATA'!T31="","",'INPUT DATA'!T31)</f>
        <v/>
      </c>
      <c r="G86" s="163"/>
      <c r="H86" s="173" t="str">
        <f>IF('INPUT DATA'!S31="","",'INPUT DATA'!S31)</f>
        <v/>
      </c>
      <c r="I86" s="129" t="s">
        <v>72</v>
      </c>
      <c r="J86" s="130"/>
      <c r="K86" s="131"/>
      <c r="L86" s="130"/>
      <c r="M86" s="130"/>
      <c r="N86" s="130"/>
      <c r="O86" s="130"/>
      <c r="P86" s="174"/>
      <c r="Q86" s="174"/>
      <c r="R86" s="174"/>
      <c r="S86" s="174"/>
      <c r="T86" s="122" t="str">
        <f t="shared" si="3"/>
        <v/>
      </c>
      <c r="U86" s="123" t="str">
        <f t="shared" si="4"/>
        <v/>
      </c>
      <c r="V86" s="17"/>
      <c r="W86" s="17"/>
      <c r="X86" s="17"/>
      <c r="Y86" s="17"/>
      <c r="Z86" s="17"/>
      <c r="AA86" s="17"/>
      <c r="AB86" s="17"/>
      <c r="AC86" s="17"/>
      <c r="AD86" s="17"/>
      <c r="AE86" s="17"/>
      <c r="AF86" s="17"/>
    </row>
    <row r="87" ht="15.75" customHeight="1">
      <c r="A87" s="17"/>
      <c r="B87" s="135">
        <v>22.0</v>
      </c>
      <c r="C87" s="170" t="str">
        <f>IF('INPUT DATA'!Q32="","",'INPUT DATA'!Q32)</f>
        <v/>
      </c>
      <c r="D87" s="172"/>
      <c r="E87" s="163"/>
      <c r="F87" s="162" t="str">
        <f>IF('INPUT DATA'!T32="","",'INPUT DATA'!T32)</f>
        <v/>
      </c>
      <c r="G87" s="163"/>
      <c r="H87" s="173" t="str">
        <f>IF('INPUT DATA'!S32="","",'INPUT DATA'!S32)</f>
        <v/>
      </c>
      <c r="I87" s="129" t="s">
        <v>72</v>
      </c>
      <c r="J87" s="130"/>
      <c r="K87" s="131"/>
      <c r="L87" s="130"/>
      <c r="M87" s="130"/>
      <c r="N87" s="130"/>
      <c r="O87" s="130"/>
      <c r="P87" s="174"/>
      <c r="Q87" s="174"/>
      <c r="R87" s="174"/>
      <c r="S87" s="174"/>
      <c r="T87" s="122" t="str">
        <f t="shared" si="3"/>
        <v/>
      </c>
      <c r="U87" s="123" t="str">
        <f t="shared" si="4"/>
        <v/>
      </c>
      <c r="V87" s="17"/>
      <c r="W87" s="17"/>
      <c r="X87" s="17"/>
      <c r="Y87" s="17"/>
      <c r="Z87" s="17"/>
      <c r="AA87" s="17"/>
      <c r="AB87" s="17"/>
      <c r="AC87" s="17"/>
      <c r="AD87" s="17"/>
      <c r="AE87" s="17"/>
      <c r="AF87" s="17"/>
    </row>
    <row r="88" ht="15.75" customHeight="1">
      <c r="A88" s="17"/>
      <c r="B88" s="135">
        <v>23.0</v>
      </c>
      <c r="C88" s="170" t="str">
        <f>IF('INPUT DATA'!Q33="","",'INPUT DATA'!Q33)</f>
        <v/>
      </c>
      <c r="D88" s="172"/>
      <c r="E88" s="163"/>
      <c r="F88" s="162" t="str">
        <f>IF('INPUT DATA'!T33="","",'INPUT DATA'!T33)</f>
        <v/>
      </c>
      <c r="G88" s="163"/>
      <c r="H88" s="173" t="str">
        <f>IF('INPUT DATA'!S33="","",'INPUT DATA'!S33)</f>
        <v/>
      </c>
      <c r="I88" s="129" t="s">
        <v>72</v>
      </c>
      <c r="J88" s="130"/>
      <c r="K88" s="131"/>
      <c r="L88" s="130"/>
      <c r="M88" s="130"/>
      <c r="N88" s="130"/>
      <c r="O88" s="130"/>
      <c r="P88" s="174"/>
      <c r="Q88" s="174"/>
      <c r="R88" s="174"/>
      <c r="S88" s="174"/>
      <c r="T88" s="122" t="str">
        <f t="shared" si="3"/>
        <v/>
      </c>
      <c r="U88" s="123" t="str">
        <f t="shared" si="4"/>
        <v/>
      </c>
      <c r="V88" s="17"/>
      <c r="W88" s="17"/>
      <c r="X88" s="17"/>
      <c r="Y88" s="17"/>
      <c r="Z88" s="17"/>
      <c r="AA88" s="17"/>
      <c r="AB88" s="17"/>
      <c r="AC88" s="17"/>
      <c r="AD88" s="17"/>
      <c r="AE88" s="17"/>
      <c r="AF88" s="17"/>
    </row>
    <row r="89" ht="15.75" customHeight="1">
      <c r="A89" s="17"/>
      <c r="B89" s="135">
        <v>24.0</v>
      </c>
      <c r="C89" s="170" t="str">
        <f>IF('INPUT DATA'!Q34="","",'INPUT DATA'!Q34)</f>
        <v/>
      </c>
      <c r="D89" s="172"/>
      <c r="E89" s="163"/>
      <c r="F89" s="162" t="str">
        <f>IF('INPUT DATA'!T34="","",'INPUT DATA'!T34)</f>
        <v/>
      </c>
      <c r="G89" s="163"/>
      <c r="H89" s="173" t="str">
        <f>IF('INPUT DATA'!S34="","",'INPUT DATA'!S34)</f>
        <v/>
      </c>
      <c r="I89" s="129" t="s">
        <v>72</v>
      </c>
      <c r="J89" s="130"/>
      <c r="K89" s="131"/>
      <c r="L89" s="130"/>
      <c r="M89" s="130"/>
      <c r="N89" s="130"/>
      <c r="O89" s="130"/>
      <c r="P89" s="174"/>
      <c r="Q89" s="174"/>
      <c r="R89" s="174"/>
      <c r="S89" s="174"/>
      <c r="T89" s="122" t="str">
        <f t="shared" si="3"/>
        <v/>
      </c>
      <c r="U89" s="123" t="str">
        <f t="shared" si="4"/>
        <v/>
      </c>
      <c r="V89" s="17"/>
      <c r="W89" s="17"/>
      <c r="X89" s="17"/>
      <c r="Y89" s="17"/>
      <c r="Z89" s="17"/>
      <c r="AA89" s="17"/>
      <c r="AB89" s="17"/>
      <c r="AC89" s="17"/>
      <c r="AD89" s="17"/>
      <c r="AE89" s="17"/>
      <c r="AF89" s="17"/>
    </row>
    <row r="90" ht="15.75" customHeight="1">
      <c r="A90" s="17"/>
      <c r="B90" s="135">
        <v>25.0</v>
      </c>
      <c r="C90" s="170" t="str">
        <f>IF('INPUT DATA'!Q35="","",'INPUT DATA'!Q35)</f>
        <v/>
      </c>
      <c r="D90" s="172"/>
      <c r="E90" s="163"/>
      <c r="F90" s="162" t="str">
        <f>IF('INPUT DATA'!T35="","",'INPUT DATA'!T35)</f>
        <v/>
      </c>
      <c r="G90" s="163"/>
      <c r="H90" s="173" t="str">
        <f>IF('INPUT DATA'!S35="","",'INPUT DATA'!S35)</f>
        <v/>
      </c>
      <c r="I90" s="129" t="s">
        <v>72</v>
      </c>
      <c r="J90" s="130"/>
      <c r="K90" s="131"/>
      <c r="L90" s="130"/>
      <c r="M90" s="130"/>
      <c r="N90" s="130"/>
      <c r="O90" s="130"/>
      <c r="P90" s="174"/>
      <c r="Q90" s="174"/>
      <c r="R90" s="174"/>
      <c r="S90" s="174"/>
      <c r="T90" s="122" t="str">
        <f t="shared" si="3"/>
        <v/>
      </c>
      <c r="U90" s="123" t="str">
        <f t="shared" si="4"/>
        <v/>
      </c>
      <c r="V90" s="17"/>
      <c r="W90" s="17"/>
      <c r="X90" s="17"/>
      <c r="Y90" s="17"/>
      <c r="Z90" s="17"/>
      <c r="AA90" s="17"/>
      <c r="AB90" s="17"/>
      <c r="AC90" s="17"/>
      <c r="AD90" s="17"/>
      <c r="AE90" s="17"/>
      <c r="AF90" s="17"/>
    </row>
    <row r="91" ht="15.75" customHeight="1">
      <c r="A91" s="17"/>
      <c r="B91" s="135">
        <v>26.0</v>
      </c>
      <c r="C91" s="170" t="str">
        <f>IF('INPUT DATA'!Q36="","",'INPUT DATA'!Q36)</f>
        <v/>
      </c>
      <c r="D91" s="172"/>
      <c r="E91" s="163"/>
      <c r="F91" s="162" t="str">
        <f>IF('INPUT DATA'!T36="","",'INPUT DATA'!T36)</f>
        <v/>
      </c>
      <c r="G91" s="163"/>
      <c r="H91" s="173" t="str">
        <f>IF('INPUT DATA'!S36="","",'INPUT DATA'!S36)</f>
        <v/>
      </c>
      <c r="I91" s="129" t="s">
        <v>72</v>
      </c>
      <c r="J91" s="130"/>
      <c r="K91" s="131"/>
      <c r="L91" s="130"/>
      <c r="M91" s="130"/>
      <c r="N91" s="130"/>
      <c r="O91" s="130"/>
      <c r="P91" s="174"/>
      <c r="Q91" s="174"/>
      <c r="R91" s="174"/>
      <c r="S91" s="174"/>
      <c r="T91" s="122" t="str">
        <f t="shared" si="3"/>
        <v/>
      </c>
      <c r="U91" s="123" t="str">
        <f t="shared" si="4"/>
        <v/>
      </c>
      <c r="V91" s="17"/>
      <c r="W91" s="17"/>
      <c r="X91" s="17"/>
      <c r="Y91" s="17"/>
      <c r="Z91" s="17"/>
      <c r="AA91" s="17"/>
      <c r="AB91" s="17"/>
      <c r="AC91" s="17"/>
      <c r="AD91" s="17"/>
      <c r="AE91" s="17"/>
      <c r="AF91" s="17"/>
    </row>
    <row r="92" ht="15.75" customHeight="1">
      <c r="A92" s="17"/>
      <c r="B92" s="135">
        <v>27.0</v>
      </c>
      <c r="C92" s="170" t="str">
        <f>IF('INPUT DATA'!Q37="","",'INPUT DATA'!Q37)</f>
        <v/>
      </c>
      <c r="D92" s="172"/>
      <c r="E92" s="163"/>
      <c r="F92" s="162" t="str">
        <f>IF('INPUT DATA'!T37="","",'INPUT DATA'!T37)</f>
        <v/>
      </c>
      <c r="G92" s="163"/>
      <c r="H92" s="173" t="str">
        <f>IF('INPUT DATA'!S37="","",'INPUT DATA'!S37)</f>
        <v/>
      </c>
      <c r="I92" s="129" t="s">
        <v>72</v>
      </c>
      <c r="J92" s="130"/>
      <c r="K92" s="131"/>
      <c r="L92" s="130"/>
      <c r="M92" s="130"/>
      <c r="N92" s="130"/>
      <c r="O92" s="130"/>
      <c r="P92" s="174"/>
      <c r="Q92" s="174"/>
      <c r="R92" s="174"/>
      <c r="S92" s="174"/>
      <c r="T92" s="122" t="str">
        <f t="shared" si="3"/>
        <v/>
      </c>
      <c r="U92" s="123" t="str">
        <f t="shared" si="4"/>
        <v/>
      </c>
      <c r="V92" s="17"/>
      <c r="W92" s="17"/>
      <c r="X92" s="17"/>
      <c r="Y92" s="17"/>
      <c r="Z92" s="17"/>
      <c r="AA92" s="17"/>
      <c r="AB92" s="17"/>
      <c r="AC92" s="17"/>
      <c r="AD92" s="17"/>
      <c r="AE92" s="17"/>
      <c r="AF92" s="17"/>
    </row>
    <row r="93" ht="15.75" customHeight="1">
      <c r="A93" s="17"/>
      <c r="B93" s="135">
        <v>28.0</v>
      </c>
      <c r="C93" s="170" t="str">
        <f>IF('INPUT DATA'!Q38="","",'INPUT DATA'!Q38)</f>
        <v/>
      </c>
      <c r="D93" s="172"/>
      <c r="E93" s="163"/>
      <c r="F93" s="162" t="str">
        <f>IF('INPUT DATA'!T38="","",'INPUT DATA'!T38)</f>
        <v/>
      </c>
      <c r="G93" s="163"/>
      <c r="H93" s="173" t="str">
        <f>IF('INPUT DATA'!S38="","",'INPUT DATA'!S38)</f>
        <v/>
      </c>
      <c r="I93" s="129" t="s">
        <v>72</v>
      </c>
      <c r="J93" s="130"/>
      <c r="K93" s="131"/>
      <c r="L93" s="130"/>
      <c r="M93" s="130"/>
      <c r="N93" s="130"/>
      <c r="O93" s="130"/>
      <c r="P93" s="174"/>
      <c r="Q93" s="174"/>
      <c r="R93" s="174"/>
      <c r="S93" s="174"/>
      <c r="T93" s="122" t="str">
        <f t="shared" si="3"/>
        <v/>
      </c>
      <c r="U93" s="123" t="str">
        <f t="shared" si="4"/>
        <v/>
      </c>
      <c r="V93" s="17"/>
      <c r="W93" s="17"/>
      <c r="X93" s="17"/>
      <c r="Y93" s="17"/>
      <c r="Z93" s="17"/>
      <c r="AA93" s="17"/>
      <c r="AB93" s="17"/>
      <c r="AC93" s="17"/>
      <c r="AD93" s="17"/>
      <c r="AE93" s="17"/>
      <c r="AF93" s="17"/>
    </row>
    <row r="94" ht="15.75" customHeight="1">
      <c r="A94" s="17"/>
      <c r="B94" s="135">
        <v>29.0</v>
      </c>
      <c r="C94" s="170" t="str">
        <f>IF('INPUT DATA'!Q39="","",'INPUT DATA'!Q39)</f>
        <v/>
      </c>
      <c r="D94" s="172"/>
      <c r="E94" s="163"/>
      <c r="F94" s="162" t="str">
        <f>IF('INPUT DATA'!T39="","",'INPUT DATA'!T39)</f>
        <v/>
      </c>
      <c r="G94" s="163"/>
      <c r="H94" s="173" t="str">
        <f>IF('INPUT DATA'!S39="","",'INPUT DATA'!S39)</f>
        <v/>
      </c>
      <c r="I94" s="129" t="s">
        <v>72</v>
      </c>
      <c r="J94" s="130"/>
      <c r="K94" s="131"/>
      <c r="L94" s="130"/>
      <c r="M94" s="130"/>
      <c r="N94" s="130"/>
      <c r="O94" s="130"/>
      <c r="P94" s="174"/>
      <c r="Q94" s="174"/>
      <c r="R94" s="174"/>
      <c r="S94" s="174"/>
      <c r="T94" s="122" t="str">
        <f t="shared" si="3"/>
        <v/>
      </c>
      <c r="U94" s="123" t="str">
        <f t="shared" si="4"/>
        <v/>
      </c>
      <c r="V94" s="17"/>
      <c r="W94" s="17"/>
      <c r="X94" s="17"/>
      <c r="Y94" s="17"/>
      <c r="Z94" s="17"/>
      <c r="AA94" s="17"/>
      <c r="AB94" s="17"/>
      <c r="AC94" s="17"/>
      <c r="AD94" s="17"/>
      <c r="AE94" s="17"/>
      <c r="AF94" s="17"/>
    </row>
    <row r="95" ht="15.75" customHeight="1">
      <c r="A95" s="17"/>
      <c r="B95" s="135">
        <v>30.0</v>
      </c>
      <c r="C95" s="170" t="str">
        <f>IF('INPUT DATA'!Q40="","",'INPUT DATA'!Q40)</f>
        <v/>
      </c>
      <c r="D95" s="172"/>
      <c r="E95" s="163"/>
      <c r="F95" s="162" t="str">
        <f>IF('INPUT DATA'!T40="","",'INPUT DATA'!T40)</f>
        <v/>
      </c>
      <c r="G95" s="163"/>
      <c r="H95" s="173" t="str">
        <f>IF('INPUT DATA'!S40="","",'INPUT DATA'!S40)</f>
        <v/>
      </c>
      <c r="I95" s="129" t="s">
        <v>72</v>
      </c>
      <c r="J95" s="130"/>
      <c r="K95" s="131"/>
      <c r="L95" s="130"/>
      <c r="M95" s="130"/>
      <c r="N95" s="130"/>
      <c r="O95" s="130"/>
      <c r="P95" s="174"/>
      <c r="Q95" s="174"/>
      <c r="R95" s="174"/>
      <c r="S95" s="174"/>
      <c r="T95" s="122" t="str">
        <f t="shared" si="3"/>
        <v/>
      </c>
      <c r="U95" s="123" t="str">
        <f t="shared" si="4"/>
        <v/>
      </c>
      <c r="V95" s="17"/>
      <c r="W95" s="17"/>
      <c r="X95" s="17"/>
      <c r="Y95" s="17"/>
      <c r="Z95" s="17"/>
      <c r="AA95" s="17"/>
      <c r="AB95" s="17"/>
      <c r="AC95" s="17"/>
      <c r="AD95" s="17"/>
      <c r="AE95" s="17"/>
      <c r="AF95" s="17"/>
    </row>
    <row r="96" ht="15.75" customHeight="1">
      <c r="A96" s="17"/>
      <c r="B96" s="135">
        <v>31.0</v>
      </c>
      <c r="C96" s="170" t="str">
        <f>IF('INPUT DATA'!Q41="","",'INPUT DATA'!Q41)</f>
        <v/>
      </c>
      <c r="D96" s="172"/>
      <c r="E96" s="163"/>
      <c r="F96" s="162" t="str">
        <f>IF('INPUT DATA'!T41="","",'INPUT DATA'!T41)</f>
        <v/>
      </c>
      <c r="G96" s="163"/>
      <c r="H96" s="173" t="str">
        <f>IF('INPUT DATA'!S41="","",'INPUT DATA'!S41)</f>
        <v/>
      </c>
      <c r="I96" s="129" t="s">
        <v>72</v>
      </c>
      <c r="J96" s="130"/>
      <c r="K96" s="131"/>
      <c r="L96" s="130"/>
      <c r="M96" s="130"/>
      <c r="N96" s="130"/>
      <c r="O96" s="130"/>
      <c r="P96" s="174"/>
      <c r="Q96" s="174"/>
      <c r="R96" s="174"/>
      <c r="S96" s="174"/>
      <c r="T96" s="122" t="str">
        <f t="shared" si="3"/>
        <v/>
      </c>
      <c r="U96" s="123" t="str">
        <f t="shared" si="4"/>
        <v/>
      </c>
      <c r="V96" s="17"/>
      <c r="W96" s="17"/>
      <c r="X96" s="17"/>
      <c r="Y96" s="17"/>
      <c r="Z96" s="17"/>
      <c r="AA96" s="17"/>
      <c r="AB96" s="17"/>
      <c r="AC96" s="17"/>
      <c r="AD96" s="17"/>
      <c r="AE96" s="17"/>
      <c r="AF96" s="17"/>
    </row>
    <row r="97" ht="15.75" customHeight="1">
      <c r="A97" s="17"/>
      <c r="B97" s="135">
        <v>32.0</v>
      </c>
      <c r="C97" s="170" t="str">
        <f>IF('INPUT DATA'!Q42="","",'INPUT DATA'!Q42)</f>
        <v/>
      </c>
      <c r="D97" s="172"/>
      <c r="E97" s="163"/>
      <c r="F97" s="162" t="str">
        <f>IF('INPUT DATA'!T42="","",'INPUT DATA'!T42)</f>
        <v/>
      </c>
      <c r="G97" s="163"/>
      <c r="H97" s="173" t="str">
        <f>IF('INPUT DATA'!S42="","",'INPUT DATA'!S42)</f>
        <v/>
      </c>
      <c r="I97" s="129" t="s">
        <v>72</v>
      </c>
      <c r="J97" s="130"/>
      <c r="K97" s="131"/>
      <c r="L97" s="130"/>
      <c r="M97" s="130"/>
      <c r="N97" s="130"/>
      <c r="O97" s="130"/>
      <c r="P97" s="174"/>
      <c r="Q97" s="174"/>
      <c r="R97" s="174"/>
      <c r="S97" s="174"/>
      <c r="T97" s="122" t="str">
        <f t="shared" si="3"/>
        <v/>
      </c>
      <c r="U97" s="123" t="str">
        <f t="shared" si="4"/>
        <v/>
      </c>
      <c r="V97" s="17"/>
      <c r="W97" s="17"/>
      <c r="X97" s="17"/>
      <c r="Y97" s="17"/>
      <c r="Z97" s="17"/>
      <c r="AA97" s="17"/>
      <c r="AB97" s="17"/>
      <c r="AC97" s="17"/>
      <c r="AD97" s="17"/>
      <c r="AE97" s="17"/>
      <c r="AF97" s="17"/>
    </row>
    <row r="98" ht="15.75" customHeight="1">
      <c r="A98" s="17"/>
      <c r="B98" s="135">
        <v>33.0</v>
      </c>
      <c r="C98" s="170" t="str">
        <f>IF('INPUT DATA'!Q43="","",'INPUT DATA'!Q43)</f>
        <v/>
      </c>
      <c r="D98" s="172"/>
      <c r="E98" s="163"/>
      <c r="F98" s="162" t="str">
        <f>IF('INPUT DATA'!T43="","",'INPUT DATA'!T43)</f>
        <v/>
      </c>
      <c r="G98" s="163"/>
      <c r="H98" s="173" t="str">
        <f>IF('INPUT DATA'!S43="","",'INPUT DATA'!S43)</f>
        <v/>
      </c>
      <c r="I98" s="129" t="s">
        <v>72</v>
      </c>
      <c r="J98" s="130"/>
      <c r="K98" s="131"/>
      <c r="L98" s="130"/>
      <c r="M98" s="130"/>
      <c r="N98" s="130"/>
      <c r="O98" s="130"/>
      <c r="P98" s="174"/>
      <c r="Q98" s="174"/>
      <c r="R98" s="174"/>
      <c r="S98" s="174"/>
      <c r="T98" s="122" t="str">
        <f t="shared" si="3"/>
        <v/>
      </c>
      <c r="U98" s="123" t="str">
        <f t="shared" si="4"/>
        <v/>
      </c>
      <c r="V98" s="17"/>
      <c r="W98" s="17"/>
      <c r="X98" s="17"/>
      <c r="Y98" s="17"/>
      <c r="Z98" s="17"/>
      <c r="AA98" s="17"/>
      <c r="AB98" s="17"/>
      <c r="AC98" s="17"/>
      <c r="AD98" s="17"/>
      <c r="AE98" s="17"/>
      <c r="AF98" s="17"/>
    </row>
    <row r="99" ht="15.75" customHeight="1">
      <c r="A99" s="17"/>
      <c r="B99" s="135">
        <v>34.0</v>
      </c>
      <c r="C99" s="170" t="str">
        <f>IF('INPUT DATA'!Q44="","",'INPUT DATA'!Q44)</f>
        <v/>
      </c>
      <c r="D99" s="172"/>
      <c r="E99" s="163"/>
      <c r="F99" s="162" t="str">
        <f>IF('INPUT DATA'!T44="","",'INPUT DATA'!T44)</f>
        <v/>
      </c>
      <c r="G99" s="163"/>
      <c r="H99" s="173" t="str">
        <f>IF('INPUT DATA'!S44="","",'INPUT DATA'!S44)</f>
        <v/>
      </c>
      <c r="I99" s="129" t="s">
        <v>72</v>
      </c>
      <c r="J99" s="130"/>
      <c r="K99" s="131"/>
      <c r="L99" s="130"/>
      <c r="M99" s="130"/>
      <c r="N99" s="130"/>
      <c r="O99" s="130"/>
      <c r="P99" s="174"/>
      <c r="Q99" s="174"/>
      <c r="R99" s="174"/>
      <c r="S99" s="174"/>
      <c r="T99" s="122" t="str">
        <f t="shared" si="3"/>
        <v/>
      </c>
      <c r="U99" s="123" t="str">
        <f t="shared" si="4"/>
        <v/>
      </c>
      <c r="V99" s="17"/>
      <c r="W99" s="17"/>
      <c r="X99" s="17"/>
      <c r="Y99" s="17"/>
      <c r="Z99" s="17"/>
      <c r="AA99" s="17"/>
      <c r="AB99" s="17"/>
      <c r="AC99" s="17"/>
      <c r="AD99" s="17"/>
      <c r="AE99" s="17"/>
      <c r="AF99" s="17"/>
    </row>
    <row r="100" ht="15.75" customHeight="1">
      <c r="A100" s="17"/>
      <c r="B100" s="135">
        <v>35.0</v>
      </c>
      <c r="C100" s="170" t="str">
        <f>IF('INPUT DATA'!Q45="","",'INPUT DATA'!Q45)</f>
        <v/>
      </c>
      <c r="D100" s="172"/>
      <c r="E100" s="163"/>
      <c r="F100" s="162" t="str">
        <f>IF('INPUT DATA'!T45="","",'INPUT DATA'!T45)</f>
        <v/>
      </c>
      <c r="G100" s="163"/>
      <c r="H100" s="173" t="str">
        <f>IF('INPUT DATA'!S45="","",'INPUT DATA'!S45)</f>
        <v/>
      </c>
      <c r="I100" s="129" t="s">
        <v>72</v>
      </c>
      <c r="J100" s="130"/>
      <c r="K100" s="131"/>
      <c r="L100" s="130"/>
      <c r="M100" s="130"/>
      <c r="N100" s="130"/>
      <c r="O100" s="130"/>
      <c r="P100" s="174"/>
      <c r="Q100" s="174"/>
      <c r="R100" s="174"/>
      <c r="S100" s="174"/>
      <c r="T100" s="122" t="str">
        <f t="shared" si="3"/>
        <v/>
      </c>
      <c r="U100" s="123" t="str">
        <f t="shared" si="4"/>
        <v/>
      </c>
      <c r="V100" s="17"/>
      <c r="W100" s="17"/>
      <c r="X100" s="17"/>
      <c r="Y100" s="17"/>
      <c r="Z100" s="17"/>
      <c r="AA100" s="17"/>
      <c r="AB100" s="17"/>
      <c r="AC100" s="17"/>
      <c r="AD100" s="17"/>
      <c r="AE100" s="17"/>
      <c r="AF100" s="17"/>
    </row>
    <row r="101" ht="15.75" customHeight="1">
      <c r="A101" s="17"/>
      <c r="B101" s="135">
        <v>36.0</v>
      </c>
      <c r="C101" s="170" t="str">
        <f>IF('INPUT DATA'!Q46="","",'INPUT DATA'!Q46)</f>
        <v/>
      </c>
      <c r="D101" s="172"/>
      <c r="E101" s="163"/>
      <c r="F101" s="162" t="str">
        <f>IF('INPUT DATA'!T46="","",'INPUT DATA'!T46)</f>
        <v/>
      </c>
      <c r="G101" s="163"/>
      <c r="H101" s="173" t="str">
        <f>IF('INPUT DATA'!S46="","",'INPUT DATA'!S46)</f>
        <v/>
      </c>
      <c r="I101" s="129" t="s">
        <v>72</v>
      </c>
      <c r="J101" s="130"/>
      <c r="K101" s="131"/>
      <c r="L101" s="130"/>
      <c r="M101" s="130"/>
      <c r="N101" s="130"/>
      <c r="O101" s="130"/>
      <c r="P101" s="174"/>
      <c r="Q101" s="174"/>
      <c r="R101" s="174"/>
      <c r="S101" s="174"/>
      <c r="T101" s="122" t="str">
        <f t="shared" si="3"/>
        <v/>
      </c>
      <c r="U101" s="123" t="str">
        <f t="shared" si="4"/>
        <v/>
      </c>
      <c r="V101" s="17"/>
      <c r="W101" s="17"/>
      <c r="X101" s="17"/>
      <c r="Y101" s="17"/>
      <c r="Z101" s="17"/>
      <c r="AA101" s="17"/>
      <c r="AB101" s="17"/>
      <c r="AC101" s="17"/>
      <c r="AD101" s="17"/>
      <c r="AE101" s="17"/>
      <c r="AF101" s="17"/>
    </row>
    <row r="102" ht="15.75" customHeight="1">
      <c r="A102" s="17"/>
      <c r="B102" s="135">
        <v>37.0</v>
      </c>
      <c r="C102" s="170" t="str">
        <f>IF('INPUT DATA'!Q47="","",'INPUT DATA'!Q47)</f>
        <v/>
      </c>
      <c r="D102" s="172"/>
      <c r="E102" s="163"/>
      <c r="F102" s="162" t="str">
        <f>IF('INPUT DATA'!T47="","",'INPUT DATA'!T47)</f>
        <v/>
      </c>
      <c r="G102" s="163"/>
      <c r="H102" s="173" t="str">
        <f>IF('INPUT DATA'!S47="","",'INPUT DATA'!S47)</f>
        <v/>
      </c>
      <c r="I102" s="129" t="s">
        <v>72</v>
      </c>
      <c r="J102" s="130"/>
      <c r="K102" s="131"/>
      <c r="L102" s="130"/>
      <c r="M102" s="130"/>
      <c r="N102" s="130"/>
      <c r="O102" s="130"/>
      <c r="P102" s="174"/>
      <c r="Q102" s="174"/>
      <c r="R102" s="174"/>
      <c r="S102" s="174"/>
      <c r="T102" s="122" t="str">
        <f t="shared" si="3"/>
        <v/>
      </c>
      <c r="U102" s="123" t="str">
        <f t="shared" si="4"/>
        <v/>
      </c>
      <c r="V102" s="17"/>
      <c r="W102" s="17"/>
      <c r="X102" s="17"/>
      <c r="Y102" s="17"/>
      <c r="Z102" s="17"/>
      <c r="AA102" s="17"/>
      <c r="AB102" s="17"/>
      <c r="AC102" s="17"/>
      <c r="AD102" s="17"/>
      <c r="AE102" s="17"/>
      <c r="AF102" s="17"/>
    </row>
    <row r="103" ht="15.75" customHeight="1">
      <c r="A103" s="17"/>
      <c r="B103" s="135">
        <v>38.0</v>
      </c>
      <c r="C103" s="170" t="str">
        <f>IF('INPUT DATA'!Q48="","",'INPUT DATA'!Q48)</f>
        <v/>
      </c>
      <c r="D103" s="172"/>
      <c r="E103" s="163"/>
      <c r="F103" s="162" t="str">
        <f>IF('INPUT DATA'!T48="","",'INPUT DATA'!T48)</f>
        <v/>
      </c>
      <c r="G103" s="163"/>
      <c r="H103" s="173" t="str">
        <f>IF('INPUT DATA'!S48="","",'INPUT DATA'!S48)</f>
        <v/>
      </c>
      <c r="I103" s="129" t="s">
        <v>72</v>
      </c>
      <c r="J103" s="130"/>
      <c r="K103" s="131"/>
      <c r="L103" s="130"/>
      <c r="M103" s="130"/>
      <c r="N103" s="130"/>
      <c r="O103" s="130"/>
      <c r="P103" s="174"/>
      <c r="Q103" s="174"/>
      <c r="R103" s="174"/>
      <c r="S103" s="174"/>
      <c r="T103" s="122" t="str">
        <f t="shared" si="3"/>
        <v/>
      </c>
      <c r="U103" s="123" t="str">
        <f t="shared" si="4"/>
        <v/>
      </c>
      <c r="V103" s="17"/>
      <c r="W103" s="17"/>
      <c r="X103" s="17"/>
      <c r="Y103" s="17"/>
      <c r="Z103" s="17"/>
      <c r="AA103" s="17"/>
      <c r="AB103" s="17"/>
      <c r="AC103" s="17"/>
      <c r="AD103" s="17"/>
      <c r="AE103" s="17"/>
      <c r="AF103" s="17"/>
    </row>
    <row r="104" ht="15.75" customHeight="1">
      <c r="A104" s="17"/>
      <c r="B104" s="135">
        <v>39.0</v>
      </c>
      <c r="C104" s="170" t="str">
        <f>IF('INPUT DATA'!Q49="","",'INPUT DATA'!Q49)</f>
        <v/>
      </c>
      <c r="D104" s="172"/>
      <c r="E104" s="163"/>
      <c r="F104" s="162" t="str">
        <f>IF('INPUT DATA'!T49="","",'INPUT DATA'!T49)</f>
        <v/>
      </c>
      <c r="G104" s="163"/>
      <c r="H104" s="173" t="str">
        <f>IF('INPUT DATA'!S49="","",'INPUT DATA'!S49)</f>
        <v/>
      </c>
      <c r="I104" s="129" t="s">
        <v>72</v>
      </c>
      <c r="J104" s="130"/>
      <c r="K104" s="131"/>
      <c r="L104" s="130"/>
      <c r="M104" s="130"/>
      <c r="N104" s="130"/>
      <c r="O104" s="130"/>
      <c r="P104" s="174"/>
      <c r="Q104" s="174"/>
      <c r="R104" s="174"/>
      <c r="S104" s="174"/>
      <c r="T104" s="122" t="str">
        <f t="shared" si="3"/>
        <v/>
      </c>
      <c r="U104" s="123" t="str">
        <f t="shared" si="4"/>
        <v/>
      </c>
      <c r="V104" s="17"/>
      <c r="W104" s="17"/>
      <c r="X104" s="17"/>
      <c r="Y104" s="17"/>
      <c r="Z104" s="17"/>
      <c r="AA104" s="17"/>
      <c r="AB104" s="17"/>
      <c r="AC104" s="17"/>
      <c r="AD104" s="17"/>
      <c r="AE104" s="17"/>
      <c r="AF104" s="17"/>
    </row>
    <row r="105" ht="15.75" customHeight="1">
      <c r="A105" s="17"/>
      <c r="B105" s="135">
        <v>40.0</v>
      </c>
      <c r="C105" s="170" t="str">
        <f>IF('INPUT DATA'!Q50="","",'INPUT DATA'!Q50)</f>
        <v/>
      </c>
      <c r="D105" s="172"/>
      <c r="E105" s="163"/>
      <c r="F105" s="162" t="str">
        <f>IF('INPUT DATA'!T50="","",'INPUT DATA'!T50)</f>
        <v/>
      </c>
      <c r="G105" s="163"/>
      <c r="H105" s="173" t="str">
        <f>IF('INPUT DATA'!S50="","",'INPUT DATA'!S50)</f>
        <v/>
      </c>
      <c r="I105" s="129" t="s">
        <v>72</v>
      </c>
      <c r="J105" s="130"/>
      <c r="K105" s="131"/>
      <c r="L105" s="130"/>
      <c r="M105" s="130"/>
      <c r="N105" s="130"/>
      <c r="O105" s="130"/>
      <c r="P105" s="174"/>
      <c r="Q105" s="174"/>
      <c r="R105" s="174"/>
      <c r="S105" s="174"/>
      <c r="T105" s="122" t="str">
        <f t="shared" si="3"/>
        <v/>
      </c>
      <c r="U105" s="123" t="str">
        <f t="shared" si="4"/>
        <v/>
      </c>
      <c r="V105" s="17"/>
      <c r="W105" s="17"/>
      <c r="X105" s="17"/>
      <c r="Y105" s="17"/>
      <c r="Z105" s="17"/>
      <c r="AA105" s="17"/>
      <c r="AB105" s="17"/>
      <c r="AC105" s="17"/>
      <c r="AD105" s="17"/>
      <c r="AE105" s="17"/>
      <c r="AF105" s="17"/>
    </row>
    <row r="106" ht="15.75" customHeight="1">
      <c r="A106" s="17"/>
      <c r="B106" s="135">
        <v>41.0</v>
      </c>
      <c r="C106" s="170" t="str">
        <f>IF('INPUT DATA'!Q51="","",'INPUT DATA'!Q51)</f>
        <v/>
      </c>
      <c r="D106" s="172"/>
      <c r="E106" s="163"/>
      <c r="F106" s="162" t="str">
        <f>IF('INPUT DATA'!T51="","",'INPUT DATA'!T51)</f>
        <v/>
      </c>
      <c r="G106" s="163"/>
      <c r="H106" s="173" t="str">
        <f>IF('INPUT DATA'!S51="","",'INPUT DATA'!S51)</f>
        <v/>
      </c>
      <c r="I106" s="129" t="s">
        <v>72</v>
      </c>
      <c r="J106" s="130"/>
      <c r="K106" s="131"/>
      <c r="L106" s="130"/>
      <c r="M106" s="130"/>
      <c r="N106" s="130"/>
      <c r="O106" s="130"/>
      <c r="P106" s="174"/>
      <c r="Q106" s="174"/>
      <c r="R106" s="174"/>
      <c r="S106" s="174"/>
      <c r="T106" s="122" t="str">
        <f t="shared" si="3"/>
        <v/>
      </c>
      <c r="U106" s="123" t="str">
        <f t="shared" si="4"/>
        <v/>
      </c>
      <c r="V106" s="17"/>
      <c r="W106" s="17"/>
      <c r="X106" s="17"/>
      <c r="Y106" s="17"/>
      <c r="Z106" s="17"/>
      <c r="AA106" s="17"/>
      <c r="AB106" s="17"/>
      <c r="AC106" s="17"/>
      <c r="AD106" s="17"/>
      <c r="AE106" s="17"/>
      <c r="AF106" s="17"/>
    </row>
    <row r="107" ht="15.75" customHeight="1">
      <c r="A107" s="17"/>
      <c r="B107" s="135">
        <v>42.0</v>
      </c>
      <c r="C107" s="170" t="str">
        <f>IF('INPUT DATA'!Q52="","",'INPUT DATA'!Q52)</f>
        <v/>
      </c>
      <c r="D107" s="172"/>
      <c r="E107" s="163"/>
      <c r="F107" s="162" t="str">
        <f>IF('INPUT DATA'!T52="","",'INPUT DATA'!T52)</f>
        <v/>
      </c>
      <c r="G107" s="163"/>
      <c r="H107" s="173" t="str">
        <f>IF('INPUT DATA'!S52="","",'INPUT DATA'!S52)</f>
        <v/>
      </c>
      <c r="I107" s="129" t="s">
        <v>72</v>
      </c>
      <c r="J107" s="130"/>
      <c r="K107" s="131"/>
      <c r="L107" s="130"/>
      <c r="M107" s="130"/>
      <c r="N107" s="130"/>
      <c r="O107" s="130"/>
      <c r="P107" s="174"/>
      <c r="Q107" s="174"/>
      <c r="R107" s="174"/>
      <c r="S107" s="174"/>
      <c r="T107" s="122" t="str">
        <f t="shared" si="3"/>
        <v/>
      </c>
      <c r="U107" s="123" t="str">
        <f t="shared" si="4"/>
        <v/>
      </c>
      <c r="V107" s="17"/>
      <c r="W107" s="17"/>
      <c r="X107" s="17"/>
      <c r="Y107" s="17"/>
      <c r="Z107" s="17"/>
      <c r="AA107" s="17"/>
      <c r="AB107" s="17"/>
      <c r="AC107" s="17"/>
      <c r="AD107" s="17"/>
      <c r="AE107" s="17"/>
      <c r="AF107" s="17"/>
    </row>
    <row r="108" ht="15.75" customHeight="1">
      <c r="A108" s="17"/>
      <c r="B108" s="135">
        <v>43.0</v>
      </c>
      <c r="C108" s="170" t="str">
        <f>IF('INPUT DATA'!Q53="","",'INPUT DATA'!Q53)</f>
        <v/>
      </c>
      <c r="D108" s="172"/>
      <c r="E108" s="163"/>
      <c r="F108" s="162" t="str">
        <f>IF('INPUT DATA'!T53="","",'INPUT DATA'!T53)</f>
        <v/>
      </c>
      <c r="G108" s="163"/>
      <c r="H108" s="173" t="str">
        <f>IF('INPUT DATA'!S53="","",'INPUT DATA'!S53)</f>
        <v/>
      </c>
      <c r="I108" s="129" t="s">
        <v>72</v>
      </c>
      <c r="J108" s="130"/>
      <c r="K108" s="131"/>
      <c r="L108" s="130"/>
      <c r="M108" s="130"/>
      <c r="N108" s="130"/>
      <c r="O108" s="130"/>
      <c r="P108" s="174"/>
      <c r="Q108" s="174"/>
      <c r="R108" s="174"/>
      <c r="S108" s="174"/>
      <c r="T108" s="122" t="str">
        <f t="shared" si="3"/>
        <v/>
      </c>
      <c r="U108" s="123" t="str">
        <f t="shared" si="4"/>
        <v/>
      </c>
      <c r="V108" s="17"/>
      <c r="W108" s="17"/>
      <c r="X108" s="17"/>
      <c r="Y108" s="17"/>
      <c r="Z108" s="17"/>
      <c r="AA108" s="17"/>
      <c r="AB108" s="17"/>
      <c r="AC108" s="17"/>
      <c r="AD108" s="17"/>
      <c r="AE108" s="17"/>
      <c r="AF108" s="17"/>
    </row>
    <row r="109" ht="15.75" customHeight="1">
      <c r="A109" s="17"/>
      <c r="B109" s="135">
        <v>44.0</v>
      </c>
      <c r="C109" s="170" t="str">
        <f>IF('INPUT DATA'!Q54="","",'INPUT DATA'!Q54)</f>
        <v/>
      </c>
      <c r="D109" s="172"/>
      <c r="E109" s="163"/>
      <c r="F109" s="162" t="str">
        <f>IF('INPUT DATA'!T54="","",'INPUT DATA'!T54)</f>
        <v/>
      </c>
      <c r="G109" s="163"/>
      <c r="H109" s="173" t="str">
        <f>IF('INPUT DATA'!S54="","",'INPUT DATA'!S54)</f>
        <v/>
      </c>
      <c r="I109" s="129" t="s">
        <v>72</v>
      </c>
      <c r="J109" s="130"/>
      <c r="K109" s="131"/>
      <c r="L109" s="130"/>
      <c r="M109" s="130"/>
      <c r="N109" s="130"/>
      <c r="O109" s="130"/>
      <c r="P109" s="174"/>
      <c r="Q109" s="174"/>
      <c r="R109" s="174"/>
      <c r="S109" s="174"/>
      <c r="T109" s="122" t="str">
        <f t="shared" si="3"/>
        <v/>
      </c>
      <c r="U109" s="123" t="str">
        <f t="shared" si="4"/>
        <v/>
      </c>
      <c r="V109" s="17"/>
      <c r="W109" s="17"/>
      <c r="X109" s="17"/>
      <c r="Y109" s="17"/>
      <c r="Z109" s="17"/>
      <c r="AA109" s="17"/>
      <c r="AB109" s="17"/>
      <c r="AC109" s="17"/>
      <c r="AD109" s="17"/>
      <c r="AE109" s="17"/>
      <c r="AF109" s="17"/>
    </row>
    <row r="110" ht="15.75" customHeight="1">
      <c r="A110" s="17"/>
      <c r="B110" s="135">
        <v>45.0</v>
      </c>
      <c r="C110" s="170" t="str">
        <f>IF('INPUT DATA'!Q55="","",'INPUT DATA'!Q55)</f>
        <v/>
      </c>
      <c r="D110" s="172"/>
      <c r="E110" s="163"/>
      <c r="F110" s="162" t="str">
        <f>IF('INPUT DATA'!T55="","",'INPUT DATA'!T55)</f>
        <v/>
      </c>
      <c r="G110" s="163"/>
      <c r="H110" s="173" t="str">
        <f>IF('INPUT DATA'!S55="","",'INPUT DATA'!S55)</f>
        <v/>
      </c>
      <c r="I110" s="129" t="s">
        <v>72</v>
      </c>
      <c r="J110" s="130"/>
      <c r="K110" s="136"/>
      <c r="L110" s="137"/>
      <c r="M110" s="137"/>
      <c r="N110" s="137"/>
      <c r="O110" s="137"/>
      <c r="P110" s="178"/>
      <c r="Q110" s="178"/>
      <c r="R110" s="178"/>
      <c r="S110" s="178"/>
      <c r="T110" s="122" t="str">
        <f t="shared" si="3"/>
        <v/>
      </c>
      <c r="U110" s="123" t="str">
        <f t="shared" si="4"/>
        <v/>
      </c>
      <c r="V110" s="17"/>
      <c r="W110" s="17"/>
      <c r="X110" s="17"/>
      <c r="Y110" s="17"/>
      <c r="Z110" s="17"/>
      <c r="AA110" s="17"/>
      <c r="AB110" s="17"/>
      <c r="AC110" s="17"/>
      <c r="AD110" s="17"/>
      <c r="AE110" s="17"/>
      <c r="AF110" s="17"/>
    </row>
    <row r="111" ht="15.75" customHeight="1">
      <c r="A111" s="17"/>
      <c r="B111" s="135">
        <v>46.0</v>
      </c>
      <c r="C111" s="170" t="str">
        <f>IF('INPUT DATA'!Q56="","",'INPUT DATA'!Q56)</f>
        <v/>
      </c>
      <c r="D111" s="172"/>
      <c r="E111" s="163"/>
      <c r="F111" s="162" t="str">
        <f>IF('INPUT DATA'!T56="","",'INPUT DATA'!T56)</f>
        <v/>
      </c>
      <c r="G111" s="163"/>
      <c r="H111" s="173" t="str">
        <f>IF('INPUT DATA'!S56="","",'INPUT DATA'!S56)</f>
        <v/>
      </c>
      <c r="I111" s="129" t="s">
        <v>72</v>
      </c>
      <c r="J111" s="130"/>
      <c r="K111" s="131"/>
      <c r="L111" s="130"/>
      <c r="M111" s="130"/>
      <c r="N111" s="130"/>
      <c r="O111" s="130"/>
      <c r="P111" s="174"/>
      <c r="Q111" s="174"/>
      <c r="R111" s="174"/>
      <c r="S111" s="174"/>
      <c r="T111" s="122" t="str">
        <f t="shared" si="3"/>
        <v/>
      </c>
      <c r="U111" s="123" t="str">
        <f t="shared" si="4"/>
        <v/>
      </c>
      <c r="V111" s="17"/>
      <c r="W111" s="17"/>
      <c r="X111" s="17"/>
      <c r="Y111" s="17"/>
      <c r="Z111" s="17"/>
      <c r="AA111" s="17"/>
      <c r="AB111" s="17"/>
      <c r="AC111" s="17"/>
      <c r="AD111" s="17"/>
      <c r="AE111" s="17"/>
      <c r="AF111" s="17"/>
    </row>
    <row r="112" ht="15.75" customHeight="1">
      <c r="A112" s="17"/>
      <c r="B112" s="135">
        <v>47.0</v>
      </c>
      <c r="C112" s="170" t="str">
        <f>IF('INPUT DATA'!Q57="","",'INPUT DATA'!Q57)</f>
        <v/>
      </c>
      <c r="D112" s="172"/>
      <c r="E112" s="163"/>
      <c r="F112" s="162" t="str">
        <f>IF('INPUT DATA'!T57="","",'INPUT DATA'!T57)</f>
        <v/>
      </c>
      <c r="G112" s="163"/>
      <c r="H112" s="173" t="str">
        <f>IF('INPUT DATA'!S57="","",'INPUT DATA'!S57)</f>
        <v/>
      </c>
      <c r="I112" s="129" t="s">
        <v>72</v>
      </c>
      <c r="J112" s="130"/>
      <c r="K112" s="131"/>
      <c r="L112" s="130"/>
      <c r="M112" s="130"/>
      <c r="N112" s="130"/>
      <c r="O112" s="130"/>
      <c r="P112" s="174"/>
      <c r="Q112" s="174"/>
      <c r="R112" s="174"/>
      <c r="S112" s="174"/>
      <c r="T112" s="122" t="str">
        <f t="shared" si="3"/>
        <v/>
      </c>
      <c r="U112" s="123" t="str">
        <f t="shared" si="4"/>
        <v/>
      </c>
      <c r="V112" s="17"/>
      <c r="W112" s="17"/>
      <c r="X112" s="17"/>
      <c r="Y112" s="17"/>
      <c r="Z112" s="17"/>
      <c r="AA112" s="17"/>
      <c r="AB112" s="17"/>
      <c r="AC112" s="17"/>
      <c r="AD112" s="17"/>
      <c r="AE112" s="17"/>
      <c r="AF112" s="17"/>
    </row>
    <row r="113" ht="15.75" customHeight="1">
      <c r="A113" s="17"/>
      <c r="B113" s="135">
        <v>48.0</v>
      </c>
      <c r="C113" s="170" t="str">
        <f>IF('INPUT DATA'!Q58="","",'INPUT DATA'!Q58)</f>
        <v/>
      </c>
      <c r="D113" s="172"/>
      <c r="E113" s="163"/>
      <c r="F113" s="162" t="str">
        <f>IF('INPUT DATA'!T58="","",'INPUT DATA'!T58)</f>
        <v/>
      </c>
      <c r="G113" s="163"/>
      <c r="H113" s="173" t="str">
        <f>IF('INPUT DATA'!S58="","",'INPUT DATA'!S58)</f>
        <v/>
      </c>
      <c r="I113" s="129" t="s">
        <v>72</v>
      </c>
      <c r="J113" s="130"/>
      <c r="K113" s="131"/>
      <c r="L113" s="130"/>
      <c r="M113" s="130"/>
      <c r="N113" s="130"/>
      <c r="O113" s="130"/>
      <c r="P113" s="174"/>
      <c r="Q113" s="174"/>
      <c r="R113" s="174"/>
      <c r="S113" s="174"/>
      <c r="T113" s="122" t="str">
        <f t="shared" si="3"/>
        <v/>
      </c>
      <c r="U113" s="123" t="str">
        <f t="shared" si="4"/>
        <v/>
      </c>
      <c r="V113" s="17"/>
      <c r="W113" s="17"/>
      <c r="X113" s="17"/>
      <c r="Y113" s="17"/>
      <c r="Z113" s="17"/>
      <c r="AA113" s="17"/>
      <c r="AB113" s="17"/>
      <c r="AC113" s="17"/>
      <c r="AD113" s="17"/>
      <c r="AE113" s="17"/>
      <c r="AF113" s="17"/>
    </row>
    <row r="114" ht="15.75" customHeight="1">
      <c r="A114" s="17"/>
      <c r="B114" s="135">
        <v>49.0</v>
      </c>
      <c r="C114" s="170" t="str">
        <f>IF('INPUT DATA'!Q59="","",'INPUT DATA'!Q59)</f>
        <v/>
      </c>
      <c r="D114" s="172"/>
      <c r="E114" s="163"/>
      <c r="F114" s="162" t="str">
        <f>IF('INPUT DATA'!T59="","",'INPUT DATA'!T59)</f>
        <v/>
      </c>
      <c r="G114" s="163"/>
      <c r="H114" s="173" t="str">
        <f>IF('INPUT DATA'!S59="","",'INPUT DATA'!S59)</f>
        <v/>
      </c>
      <c r="I114" s="129" t="s">
        <v>72</v>
      </c>
      <c r="J114" s="130"/>
      <c r="K114" s="131"/>
      <c r="L114" s="130"/>
      <c r="M114" s="130"/>
      <c r="N114" s="130"/>
      <c r="O114" s="130"/>
      <c r="P114" s="174"/>
      <c r="Q114" s="174"/>
      <c r="R114" s="174"/>
      <c r="S114" s="174"/>
      <c r="T114" s="122" t="str">
        <f t="shared" si="3"/>
        <v/>
      </c>
      <c r="U114" s="123" t="str">
        <f t="shared" si="4"/>
        <v/>
      </c>
      <c r="V114" s="17"/>
      <c r="W114" s="17"/>
      <c r="X114" s="17"/>
      <c r="Y114" s="17"/>
      <c r="Z114" s="17"/>
      <c r="AA114" s="17"/>
      <c r="AB114" s="17"/>
      <c r="AC114" s="17"/>
      <c r="AD114" s="17"/>
      <c r="AE114" s="17"/>
      <c r="AF114" s="17"/>
    </row>
    <row r="115" ht="15.75" customHeight="1">
      <c r="A115" s="17"/>
      <c r="B115" s="138">
        <v>50.0</v>
      </c>
      <c r="C115" s="154" t="str">
        <f>IF('INPUT DATA'!Q60="","",'INPUT DATA'!Q60)</f>
        <v/>
      </c>
      <c r="D115" s="155"/>
      <c r="E115" s="156"/>
      <c r="F115" s="181" t="str">
        <f>IF('INPUT DATA'!T60="","",'INPUT DATA'!T60)</f>
        <v/>
      </c>
      <c r="G115" s="156"/>
      <c r="H115" s="143" t="str">
        <f>IF('INPUT DATA'!S60="","",'INPUT DATA'!S60)</f>
        <v/>
      </c>
      <c r="I115" s="182" t="s">
        <v>72</v>
      </c>
      <c r="J115" s="146"/>
      <c r="K115" s="145"/>
      <c r="L115" s="146"/>
      <c r="M115" s="146"/>
      <c r="N115" s="146"/>
      <c r="O115" s="146"/>
      <c r="P115" s="183"/>
      <c r="Q115" s="183"/>
      <c r="R115" s="183"/>
      <c r="S115" s="183"/>
      <c r="T115" s="122" t="str">
        <f t="shared" si="3"/>
        <v/>
      </c>
      <c r="U115" s="123" t="str">
        <f t="shared" si="4"/>
        <v/>
      </c>
      <c r="V115" s="17"/>
      <c r="W115" s="17"/>
      <c r="X115" s="17"/>
      <c r="Y115" s="17"/>
      <c r="Z115" s="17"/>
      <c r="AA115" s="17"/>
      <c r="AB115" s="17"/>
      <c r="AC115" s="17"/>
      <c r="AD115" s="17"/>
      <c r="AE115" s="17"/>
      <c r="AF115" s="17"/>
    </row>
    <row r="116" ht="15.75" customHeight="1">
      <c r="A116" s="15"/>
      <c r="B116" s="15"/>
      <c r="C116" s="13"/>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15"/>
      <c r="C117" s="13"/>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15"/>
      <c r="C118" s="13"/>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15"/>
      <c r="C119" s="13"/>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15"/>
      <c r="C120" s="13"/>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15"/>
      <c r="C121" s="13"/>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15"/>
      <c r="C122" s="13"/>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15"/>
      <c r="C123" s="13"/>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15"/>
      <c r="C124" s="13"/>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15"/>
      <c r="C125" s="13"/>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15"/>
      <c r="C126" s="13"/>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K5:M5"/>
    <mergeCell ref="E6:G6"/>
    <mergeCell ref="K6:M6"/>
    <mergeCell ref="T6:U6"/>
    <mergeCell ref="B8:U8"/>
    <mergeCell ref="H11:H13"/>
    <mergeCell ref="I11:I13"/>
    <mergeCell ref="B9:E10"/>
    <mergeCell ref="G9:K9"/>
    <mergeCell ref="L9:M10"/>
    <mergeCell ref="G10:K10"/>
    <mergeCell ref="B11:E13"/>
    <mergeCell ref="F11:G13"/>
    <mergeCell ref="J11:J13"/>
    <mergeCell ref="N12:N13"/>
    <mergeCell ref="O12:O13"/>
    <mergeCell ref="N9:U10"/>
    <mergeCell ref="K11:S11"/>
    <mergeCell ref="T11:T13"/>
    <mergeCell ref="U11:U13"/>
    <mergeCell ref="K12:K13"/>
    <mergeCell ref="L12:L13"/>
    <mergeCell ref="M12:M13"/>
    <mergeCell ref="R12:S12"/>
    <mergeCell ref="P12:P13"/>
    <mergeCell ref="Q12:Q13"/>
    <mergeCell ref="B14:U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186" t="s">
        <v>59</v>
      </c>
      <c r="Q1" s="13"/>
      <c r="R1" s="13"/>
      <c r="S1" s="13"/>
      <c r="T1" s="13"/>
      <c r="U1" s="13"/>
      <c r="V1" s="13"/>
      <c r="W1" s="13"/>
      <c r="X1" s="13"/>
    </row>
    <row r="2" ht="15.75" customHeight="1">
      <c r="Q2" s="13"/>
      <c r="R2" s="13"/>
      <c r="S2" s="13"/>
      <c r="T2" s="13"/>
      <c r="U2" s="13"/>
      <c r="V2" s="13"/>
      <c r="W2" s="13"/>
      <c r="X2" s="13"/>
    </row>
    <row r="3" ht="15.75" customHeight="1">
      <c r="Q3" s="13"/>
      <c r="R3" s="13"/>
      <c r="S3" s="13"/>
      <c r="T3" s="13"/>
      <c r="U3" s="13"/>
      <c r="V3" s="13"/>
      <c r="W3" s="13"/>
      <c r="X3" s="13"/>
    </row>
    <row r="4" ht="15.75" customHeight="1">
      <c r="Q4" s="15"/>
      <c r="R4" s="15"/>
      <c r="S4" s="15"/>
      <c r="T4" s="15"/>
      <c r="U4" s="15"/>
      <c r="V4" s="15"/>
      <c r="W4" s="15"/>
      <c r="X4" s="15"/>
    </row>
    <row r="5" ht="15.75" customHeight="1">
      <c r="A5" s="15"/>
      <c r="B5" s="53"/>
      <c r="C5" s="13"/>
      <c r="D5" s="187" t="s">
        <v>5</v>
      </c>
      <c r="E5" s="188" t="str">
        <f>'INPUT DATA'!F10</f>
        <v>NCR</v>
      </c>
      <c r="F5" s="30"/>
      <c r="G5" s="187"/>
      <c r="H5" s="187" t="s">
        <v>8</v>
      </c>
      <c r="I5" s="188" t="str">
        <f>'INPUT DATA'!F11</f>
        <v>LAS PINAS</v>
      </c>
      <c r="J5" s="29"/>
      <c r="K5" s="30"/>
      <c r="L5" s="189"/>
      <c r="M5" s="189"/>
      <c r="N5" s="189"/>
      <c r="O5" s="189"/>
      <c r="P5" s="15"/>
      <c r="Q5" s="15"/>
      <c r="R5" s="15"/>
      <c r="S5" s="15"/>
      <c r="T5" s="15"/>
      <c r="U5" s="15"/>
      <c r="V5" s="15"/>
      <c r="W5" s="15"/>
      <c r="X5" s="15"/>
    </row>
    <row r="6" ht="3.75" customHeight="1">
      <c r="A6" s="15"/>
      <c r="B6" s="53"/>
      <c r="C6" s="190"/>
      <c r="D6" s="187"/>
      <c r="E6" s="13"/>
      <c r="H6" s="187"/>
      <c r="I6" s="191"/>
      <c r="K6" s="54"/>
      <c r="L6" s="187"/>
      <c r="N6" s="15"/>
      <c r="P6" s="82"/>
      <c r="Q6" s="15"/>
      <c r="R6" s="15"/>
      <c r="S6" s="15"/>
      <c r="T6" s="15"/>
      <c r="U6" s="15"/>
      <c r="V6" s="15"/>
      <c r="W6" s="15"/>
      <c r="X6" s="15"/>
    </row>
    <row r="7" ht="15.75" customHeight="1">
      <c r="A7" s="15"/>
      <c r="B7" s="53"/>
      <c r="C7" s="54"/>
      <c r="D7" s="187" t="s">
        <v>13</v>
      </c>
      <c r="E7" s="188" t="str">
        <f>'INPUT DATA'!F16</f>
        <v>LAS PINAS EAST NATIONAL HIGH SCHOOL</v>
      </c>
      <c r="F7" s="29"/>
      <c r="G7" s="30"/>
      <c r="H7" s="187" t="s">
        <v>16</v>
      </c>
      <c r="I7" s="192">
        <f>'INPUT DATA'!F15</f>
        <v>305434</v>
      </c>
      <c r="J7" s="30"/>
      <c r="K7" s="54"/>
      <c r="L7" s="187" t="s">
        <v>22</v>
      </c>
      <c r="N7" s="188" t="str">
        <f>'INPUT DATA'!F18</f>
        <v>2026-2027</v>
      </c>
      <c r="O7" s="30"/>
      <c r="P7" s="15"/>
      <c r="Q7" s="15"/>
      <c r="R7" s="15"/>
      <c r="S7" s="15"/>
      <c r="T7" s="15"/>
      <c r="U7" s="15"/>
      <c r="V7" s="15"/>
      <c r="W7" s="15"/>
      <c r="X7" s="15"/>
    </row>
    <row r="8" ht="15.75" customHeight="1">
      <c r="A8" s="15"/>
      <c r="B8" s="53"/>
      <c r="C8" s="54"/>
      <c r="D8" s="187"/>
      <c r="E8" s="13"/>
      <c r="F8" s="13"/>
      <c r="G8" s="13"/>
      <c r="H8" s="187"/>
      <c r="I8" s="193"/>
      <c r="J8" s="193"/>
      <c r="K8" s="54"/>
      <c r="L8" s="187"/>
      <c r="M8" s="187"/>
      <c r="N8" s="15"/>
      <c r="O8" s="15"/>
      <c r="P8" s="15"/>
      <c r="Q8" s="15"/>
      <c r="R8" s="15"/>
      <c r="S8" s="15"/>
      <c r="T8" s="15"/>
      <c r="U8" s="15"/>
      <c r="V8" s="15"/>
      <c r="W8" s="15"/>
      <c r="X8" s="15"/>
    </row>
    <row r="9" ht="15.75" customHeight="1">
      <c r="A9" s="15"/>
      <c r="B9" s="61"/>
      <c r="C9" s="29"/>
      <c r="D9" s="29"/>
      <c r="E9" s="29"/>
      <c r="F9" s="29"/>
      <c r="G9" s="29"/>
      <c r="H9" s="29"/>
      <c r="I9" s="29"/>
      <c r="J9" s="29"/>
      <c r="K9" s="29"/>
      <c r="L9" s="29"/>
      <c r="M9" s="29"/>
      <c r="N9" s="29"/>
      <c r="O9" s="29"/>
      <c r="P9" s="30"/>
      <c r="Q9" s="15"/>
      <c r="R9" s="15"/>
      <c r="S9" s="15"/>
      <c r="T9" s="15"/>
      <c r="U9" s="15"/>
      <c r="V9" s="15"/>
      <c r="W9" s="15"/>
      <c r="X9" s="15"/>
    </row>
    <row r="10" ht="15.75" customHeight="1">
      <c r="A10" s="13"/>
      <c r="B10" s="194" t="s">
        <v>33</v>
      </c>
      <c r="E10" s="68"/>
      <c r="F10" s="195" t="s">
        <v>25</v>
      </c>
      <c r="G10" s="196">
        <f>'INPUT DATA'!F27</f>
        <v>10</v>
      </c>
      <c r="H10" s="75"/>
      <c r="I10" s="75"/>
      <c r="J10" s="75"/>
      <c r="K10" s="94" t="s">
        <v>30</v>
      </c>
      <c r="L10" s="197" t="str">
        <f>'INPUT DATA'!F26</f>
        <v>ROSALINDA S. VALE</v>
      </c>
      <c r="M10" s="2"/>
      <c r="N10" s="2"/>
      <c r="O10" s="2"/>
      <c r="P10" s="198"/>
      <c r="Q10" s="13"/>
      <c r="R10" s="13"/>
      <c r="S10" s="13"/>
      <c r="T10" s="13"/>
      <c r="U10" s="13"/>
      <c r="V10" s="13"/>
      <c r="W10" s="13"/>
      <c r="X10" s="13"/>
    </row>
    <row r="11" ht="15.75" customHeight="1">
      <c r="A11" s="13"/>
      <c r="B11" s="83"/>
      <c r="E11" s="68"/>
      <c r="F11" s="199" t="s">
        <v>31</v>
      </c>
      <c r="G11" s="15" t="str">
        <f>'INPUT DATA'!F28</f>
        <v>PAMAYPAY</v>
      </c>
      <c r="K11" s="105"/>
      <c r="L11" s="85"/>
      <c r="M11" s="75"/>
      <c r="N11" s="75"/>
      <c r="O11" s="75"/>
      <c r="P11" s="76"/>
      <c r="Q11" s="13"/>
      <c r="R11" s="13"/>
      <c r="S11" s="13"/>
      <c r="T11" s="13"/>
      <c r="U11" s="13"/>
      <c r="V11" s="13"/>
      <c r="W11" s="13"/>
      <c r="X11" s="13"/>
    </row>
    <row r="12" ht="15.75" customHeight="1">
      <c r="A12" s="15"/>
      <c r="B12" s="85"/>
      <c r="C12" s="75"/>
      <c r="D12" s="75"/>
      <c r="E12" s="76"/>
      <c r="F12" s="200" t="s">
        <v>60</v>
      </c>
      <c r="G12" s="200" t="s">
        <v>61</v>
      </c>
      <c r="H12" s="200" t="s">
        <v>62</v>
      </c>
      <c r="I12" s="200" t="s">
        <v>63</v>
      </c>
      <c r="J12" s="200" t="s">
        <v>64</v>
      </c>
      <c r="K12" s="200" t="s">
        <v>65</v>
      </c>
      <c r="L12" s="201" t="s">
        <v>66</v>
      </c>
      <c r="M12" s="201" t="s">
        <v>67</v>
      </c>
      <c r="N12" s="200" t="s">
        <v>68</v>
      </c>
      <c r="O12" s="200" t="s">
        <v>69</v>
      </c>
      <c r="P12" s="200" t="s">
        <v>70</v>
      </c>
      <c r="Q12" s="15"/>
      <c r="R12" s="15"/>
      <c r="S12" s="15"/>
      <c r="T12" s="15"/>
      <c r="U12" s="15"/>
      <c r="V12" s="15"/>
      <c r="W12" s="15"/>
      <c r="X12" s="15"/>
    </row>
    <row r="13" ht="15.75" customHeight="1">
      <c r="A13" s="15"/>
      <c r="B13" s="202" t="s">
        <v>9</v>
      </c>
      <c r="C13" s="29"/>
      <c r="D13" s="29"/>
      <c r="E13" s="29"/>
      <c r="F13" s="29"/>
      <c r="G13" s="29"/>
      <c r="H13" s="29"/>
      <c r="I13" s="29"/>
      <c r="J13" s="29"/>
      <c r="K13" s="29"/>
      <c r="L13" s="29"/>
      <c r="M13" s="29"/>
      <c r="N13" s="29"/>
      <c r="O13" s="29"/>
      <c r="P13" s="30"/>
      <c r="Q13" s="15"/>
      <c r="R13" s="15"/>
      <c r="S13" s="15"/>
      <c r="T13" s="15"/>
      <c r="U13" s="15"/>
      <c r="V13" s="15"/>
      <c r="W13" s="15"/>
      <c r="X13" s="15"/>
    </row>
    <row r="14" ht="15.75" customHeight="1">
      <c r="A14" s="15"/>
      <c r="B14" s="203">
        <v>1.0</v>
      </c>
      <c r="C14" s="204" t="str">
        <f>IF('INPUT DATA'!L11="","",'INPUT DATA'!L11)</f>
        <v>A</v>
      </c>
      <c r="D14" s="205"/>
      <c r="E14" s="206"/>
      <c r="F14" s="207"/>
      <c r="G14" s="208"/>
      <c r="H14" s="208"/>
      <c r="I14" s="208"/>
      <c r="J14" s="208"/>
      <c r="K14" s="208"/>
      <c r="L14" s="208"/>
      <c r="M14" s="208"/>
      <c r="N14" s="208"/>
      <c r="O14" s="208"/>
      <c r="P14" s="209"/>
      <c r="Q14" s="15"/>
      <c r="R14" s="15"/>
      <c r="S14" s="15"/>
      <c r="T14" s="15"/>
      <c r="U14" s="15"/>
      <c r="V14" s="15"/>
      <c r="W14" s="15"/>
      <c r="X14" s="15"/>
    </row>
    <row r="15" ht="15.75" customHeight="1">
      <c r="A15" s="15"/>
      <c r="B15" s="210">
        <v>2.0</v>
      </c>
      <c r="C15" s="204" t="str">
        <f>IF('INPUT DATA'!L12="","",'INPUT DATA'!L12)</f>
        <v>B</v>
      </c>
      <c r="D15" s="205"/>
      <c r="E15" s="206"/>
      <c r="F15" s="211"/>
      <c r="G15" s="212"/>
      <c r="H15" s="212"/>
      <c r="I15" s="212"/>
      <c r="J15" s="212"/>
      <c r="K15" s="212"/>
      <c r="L15" s="212"/>
      <c r="M15" s="212"/>
      <c r="N15" s="212"/>
      <c r="O15" s="212"/>
      <c r="P15" s="213"/>
      <c r="Q15" s="15"/>
      <c r="R15" s="15"/>
      <c r="S15" s="15"/>
      <c r="T15" s="15"/>
      <c r="U15" s="15"/>
      <c r="V15" s="15"/>
      <c r="W15" s="15"/>
      <c r="X15" s="15"/>
    </row>
    <row r="16" ht="15.75" customHeight="1">
      <c r="A16" s="15"/>
      <c r="B16" s="210">
        <v>3.0</v>
      </c>
      <c r="C16" s="204" t="str">
        <f>IF('INPUT DATA'!L13="","",'INPUT DATA'!L13)</f>
        <v/>
      </c>
      <c r="D16" s="205"/>
      <c r="E16" s="206"/>
      <c r="F16" s="212"/>
      <c r="G16" s="212"/>
      <c r="H16" s="212"/>
      <c r="I16" s="212"/>
      <c r="J16" s="212"/>
      <c r="K16" s="212"/>
      <c r="L16" s="212"/>
      <c r="M16" s="212"/>
      <c r="N16" s="212"/>
      <c r="O16" s="212"/>
      <c r="P16" s="213"/>
      <c r="Q16" s="15"/>
      <c r="R16" s="15"/>
      <c r="S16" s="15"/>
      <c r="T16" s="15"/>
      <c r="U16" s="15"/>
      <c r="V16" s="15"/>
      <c r="W16" s="15"/>
      <c r="X16" s="15"/>
    </row>
    <row r="17" ht="15.75" customHeight="1">
      <c r="A17" s="15"/>
      <c r="B17" s="210">
        <v>4.0</v>
      </c>
      <c r="C17" s="204" t="str">
        <f>IF('INPUT DATA'!L14="","",'INPUT DATA'!L14)</f>
        <v/>
      </c>
      <c r="D17" s="205"/>
      <c r="E17" s="206"/>
      <c r="F17" s="211"/>
      <c r="G17" s="212"/>
      <c r="H17" s="212"/>
      <c r="I17" s="212"/>
      <c r="J17" s="212"/>
      <c r="K17" s="212"/>
      <c r="L17" s="212"/>
      <c r="M17" s="212"/>
      <c r="N17" s="212"/>
      <c r="O17" s="212"/>
      <c r="P17" s="213"/>
      <c r="Q17" s="15"/>
      <c r="R17" s="15"/>
      <c r="S17" s="15"/>
      <c r="T17" s="15"/>
      <c r="U17" s="15"/>
      <c r="V17" s="15"/>
      <c r="W17" s="15"/>
      <c r="X17" s="15"/>
    </row>
    <row r="18" ht="15.75" customHeight="1">
      <c r="A18" s="15"/>
      <c r="B18" s="210">
        <v>5.0</v>
      </c>
      <c r="C18" s="204" t="str">
        <f>IF('INPUT DATA'!L15="","",'INPUT DATA'!L15)</f>
        <v/>
      </c>
      <c r="D18" s="205"/>
      <c r="E18" s="206"/>
      <c r="F18" s="211"/>
      <c r="G18" s="212"/>
      <c r="H18" s="212"/>
      <c r="I18" s="212"/>
      <c r="J18" s="212"/>
      <c r="K18" s="212"/>
      <c r="L18" s="212"/>
      <c r="M18" s="212"/>
      <c r="N18" s="212"/>
      <c r="O18" s="212"/>
      <c r="P18" s="213"/>
      <c r="Q18" s="15"/>
      <c r="R18" s="15"/>
      <c r="S18" s="15"/>
      <c r="T18" s="15"/>
      <c r="U18" s="15"/>
      <c r="V18" s="15"/>
      <c r="W18" s="15"/>
      <c r="X18" s="15"/>
    </row>
    <row r="19" ht="15.75" customHeight="1">
      <c r="A19" s="15"/>
      <c r="B19" s="210">
        <v>6.0</v>
      </c>
      <c r="C19" s="204" t="str">
        <f>IF('INPUT DATA'!L16="","",'INPUT DATA'!L16)</f>
        <v/>
      </c>
      <c r="D19" s="205"/>
      <c r="E19" s="206"/>
      <c r="F19" s="211"/>
      <c r="G19" s="212"/>
      <c r="H19" s="212"/>
      <c r="I19" s="212"/>
      <c r="J19" s="212"/>
      <c r="K19" s="212"/>
      <c r="L19" s="212"/>
      <c r="M19" s="212"/>
      <c r="N19" s="212"/>
      <c r="O19" s="212"/>
      <c r="P19" s="213"/>
      <c r="Q19" s="15"/>
      <c r="R19" s="15"/>
      <c r="S19" s="15"/>
      <c r="T19" s="15"/>
      <c r="U19" s="15"/>
      <c r="V19" s="15"/>
      <c r="W19" s="15"/>
      <c r="X19" s="15"/>
    </row>
    <row r="20" ht="15.75" customHeight="1">
      <c r="A20" s="15"/>
      <c r="B20" s="210">
        <v>7.0</v>
      </c>
      <c r="C20" s="204" t="str">
        <f>IF('INPUT DATA'!L17="","",'INPUT DATA'!L17)</f>
        <v/>
      </c>
      <c r="D20" s="205"/>
      <c r="E20" s="206"/>
      <c r="F20" s="211"/>
      <c r="G20" s="212"/>
      <c r="H20" s="212"/>
      <c r="I20" s="212"/>
      <c r="J20" s="212"/>
      <c r="K20" s="212"/>
      <c r="L20" s="212"/>
      <c r="M20" s="212"/>
      <c r="N20" s="212"/>
      <c r="O20" s="212"/>
      <c r="P20" s="213"/>
      <c r="Q20" s="15"/>
      <c r="R20" s="15"/>
      <c r="S20" s="15"/>
      <c r="T20" s="15"/>
      <c r="U20" s="15"/>
      <c r="V20" s="15"/>
      <c r="W20" s="15"/>
      <c r="X20" s="15"/>
    </row>
    <row r="21" ht="15.75" customHeight="1">
      <c r="A21" s="15"/>
      <c r="B21" s="210">
        <v>8.0</v>
      </c>
      <c r="C21" s="204" t="str">
        <f>IF('INPUT DATA'!L18="","",'INPUT DATA'!L18)</f>
        <v/>
      </c>
      <c r="D21" s="205"/>
      <c r="E21" s="206"/>
      <c r="F21" s="211"/>
      <c r="G21" s="212"/>
      <c r="H21" s="212"/>
      <c r="I21" s="212"/>
      <c r="J21" s="212"/>
      <c r="K21" s="212"/>
      <c r="L21" s="212"/>
      <c r="M21" s="212"/>
      <c r="N21" s="212"/>
      <c r="O21" s="212"/>
      <c r="P21" s="213"/>
      <c r="Q21" s="15"/>
      <c r="R21" s="15"/>
      <c r="S21" s="15"/>
      <c r="T21" s="15"/>
      <c r="U21" s="15"/>
      <c r="V21" s="15"/>
      <c r="W21" s="15"/>
      <c r="X21" s="15"/>
    </row>
    <row r="22" ht="15.75" customHeight="1">
      <c r="A22" s="15"/>
      <c r="B22" s="210">
        <v>9.0</v>
      </c>
      <c r="C22" s="204" t="str">
        <f>IF('INPUT DATA'!L19="","",'INPUT DATA'!L19)</f>
        <v/>
      </c>
      <c r="D22" s="205"/>
      <c r="E22" s="206"/>
      <c r="F22" s="211"/>
      <c r="G22" s="212"/>
      <c r="H22" s="212"/>
      <c r="I22" s="212"/>
      <c r="J22" s="212"/>
      <c r="K22" s="212"/>
      <c r="L22" s="212"/>
      <c r="M22" s="212"/>
      <c r="N22" s="212"/>
      <c r="O22" s="212"/>
      <c r="P22" s="213"/>
      <c r="Q22" s="15"/>
      <c r="R22" s="15"/>
      <c r="S22" s="15"/>
      <c r="T22" s="15"/>
      <c r="U22" s="15"/>
      <c r="V22" s="15"/>
      <c r="W22" s="15"/>
      <c r="X22" s="15"/>
    </row>
    <row r="23" ht="15.75" customHeight="1">
      <c r="A23" s="15"/>
      <c r="B23" s="210">
        <v>10.0</v>
      </c>
      <c r="C23" s="204" t="str">
        <f>IF('INPUT DATA'!L20="","",'INPUT DATA'!L20)</f>
        <v/>
      </c>
      <c r="D23" s="205"/>
      <c r="E23" s="206"/>
      <c r="F23" s="211"/>
      <c r="G23" s="212"/>
      <c r="H23" s="212"/>
      <c r="I23" s="212"/>
      <c r="J23" s="212"/>
      <c r="K23" s="212"/>
      <c r="L23" s="212"/>
      <c r="M23" s="212"/>
      <c r="N23" s="212"/>
      <c r="O23" s="212"/>
      <c r="P23" s="213"/>
      <c r="Q23" s="15"/>
      <c r="R23" s="15"/>
      <c r="S23" s="15"/>
      <c r="T23" s="15"/>
      <c r="U23" s="15"/>
      <c r="V23" s="15"/>
      <c r="W23" s="15"/>
      <c r="X23" s="15"/>
    </row>
    <row r="24" ht="15.75" customHeight="1">
      <c r="A24" s="15"/>
      <c r="B24" s="210">
        <v>11.0</v>
      </c>
      <c r="C24" s="204" t="str">
        <f>IF('INPUT DATA'!L21="","",'INPUT DATA'!L21)</f>
        <v/>
      </c>
      <c r="D24" s="205"/>
      <c r="E24" s="206"/>
      <c r="F24" s="211"/>
      <c r="G24" s="212"/>
      <c r="H24" s="212"/>
      <c r="I24" s="212"/>
      <c r="J24" s="212"/>
      <c r="K24" s="212"/>
      <c r="L24" s="212"/>
      <c r="M24" s="212"/>
      <c r="N24" s="212"/>
      <c r="O24" s="212"/>
      <c r="P24" s="213"/>
      <c r="Q24" s="15"/>
      <c r="R24" s="15"/>
      <c r="S24" s="15"/>
      <c r="T24" s="15"/>
      <c r="U24" s="15"/>
      <c r="V24" s="15"/>
      <c r="W24" s="15"/>
      <c r="X24" s="15"/>
    </row>
    <row r="25" ht="15.75" customHeight="1">
      <c r="A25" s="15"/>
      <c r="B25" s="210">
        <v>12.0</v>
      </c>
      <c r="C25" s="204" t="str">
        <f>IF('INPUT DATA'!L22="","",'INPUT DATA'!L22)</f>
        <v/>
      </c>
      <c r="D25" s="205"/>
      <c r="E25" s="206"/>
      <c r="F25" s="211"/>
      <c r="G25" s="212"/>
      <c r="H25" s="212"/>
      <c r="I25" s="212"/>
      <c r="J25" s="212"/>
      <c r="K25" s="212"/>
      <c r="L25" s="212"/>
      <c r="M25" s="212"/>
      <c r="N25" s="212"/>
      <c r="O25" s="212"/>
      <c r="P25" s="213"/>
      <c r="Q25" s="15"/>
      <c r="R25" s="15"/>
      <c r="S25" s="15"/>
      <c r="T25" s="15"/>
      <c r="U25" s="15"/>
      <c r="V25" s="15"/>
      <c r="W25" s="15"/>
      <c r="X25" s="15"/>
    </row>
    <row r="26" ht="15.75" customHeight="1">
      <c r="A26" s="15"/>
      <c r="B26" s="210">
        <v>13.0</v>
      </c>
      <c r="C26" s="204" t="str">
        <f>IF('INPUT DATA'!L23="","",'INPUT DATA'!L23)</f>
        <v/>
      </c>
      <c r="D26" s="205"/>
      <c r="E26" s="206"/>
      <c r="F26" s="211"/>
      <c r="G26" s="212"/>
      <c r="H26" s="212"/>
      <c r="I26" s="212"/>
      <c r="J26" s="212"/>
      <c r="K26" s="212"/>
      <c r="L26" s="212"/>
      <c r="M26" s="212"/>
      <c r="N26" s="212"/>
      <c r="O26" s="212"/>
      <c r="P26" s="213"/>
      <c r="Q26" s="15"/>
      <c r="R26" s="15"/>
      <c r="S26" s="15"/>
      <c r="T26" s="15"/>
      <c r="U26" s="15"/>
      <c r="V26" s="15"/>
      <c r="W26" s="15"/>
      <c r="X26" s="15"/>
    </row>
    <row r="27" ht="15.75" customHeight="1">
      <c r="A27" s="15"/>
      <c r="B27" s="210">
        <v>14.0</v>
      </c>
      <c r="C27" s="204" t="str">
        <f>IF('INPUT DATA'!L24="","",'INPUT DATA'!L24)</f>
        <v/>
      </c>
      <c r="D27" s="205"/>
      <c r="E27" s="206"/>
      <c r="F27" s="211"/>
      <c r="G27" s="212"/>
      <c r="H27" s="212"/>
      <c r="I27" s="212"/>
      <c r="J27" s="212"/>
      <c r="K27" s="212"/>
      <c r="L27" s="212"/>
      <c r="M27" s="212"/>
      <c r="N27" s="212"/>
      <c r="O27" s="212"/>
      <c r="P27" s="213"/>
      <c r="Q27" s="15"/>
      <c r="R27" s="15"/>
      <c r="S27" s="15"/>
      <c r="T27" s="15"/>
      <c r="U27" s="15"/>
      <c r="V27" s="15"/>
      <c r="W27" s="15"/>
      <c r="X27" s="15"/>
    </row>
    <row r="28" ht="15.75" customHeight="1">
      <c r="A28" s="15"/>
      <c r="B28" s="210">
        <v>15.0</v>
      </c>
      <c r="C28" s="204" t="str">
        <f>IF('INPUT DATA'!L25="","",'INPUT DATA'!L25)</f>
        <v/>
      </c>
      <c r="D28" s="205"/>
      <c r="E28" s="206"/>
      <c r="F28" s="211"/>
      <c r="G28" s="212"/>
      <c r="H28" s="212"/>
      <c r="I28" s="212"/>
      <c r="J28" s="212"/>
      <c r="K28" s="212"/>
      <c r="L28" s="212"/>
      <c r="M28" s="212"/>
      <c r="N28" s="212"/>
      <c r="O28" s="212"/>
      <c r="P28" s="213"/>
      <c r="Q28" s="15"/>
      <c r="R28" s="15"/>
      <c r="S28" s="15"/>
      <c r="T28" s="15"/>
      <c r="U28" s="15"/>
      <c r="V28" s="15"/>
      <c r="W28" s="15"/>
      <c r="X28" s="15"/>
    </row>
    <row r="29" ht="15.75" customHeight="1">
      <c r="A29" s="15"/>
      <c r="B29" s="210">
        <v>16.0</v>
      </c>
      <c r="C29" s="204" t="str">
        <f>IF('INPUT DATA'!L26="","",'INPUT DATA'!L26)</f>
        <v/>
      </c>
      <c r="D29" s="205"/>
      <c r="E29" s="206"/>
      <c r="F29" s="211"/>
      <c r="G29" s="212"/>
      <c r="H29" s="212"/>
      <c r="I29" s="212"/>
      <c r="J29" s="212"/>
      <c r="K29" s="212"/>
      <c r="L29" s="212"/>
      <c r="M29" s="212"/>
      <c r="N29" s="212"/>
      <c r="O29" s="212"/>
      <c r="P29" s="213"/>
      <c r="Q29" s="15"/>
      <c r="R29" s="15"/>
      <c r="S29" s="15"/>
      <c r="T29" s="15"/>
      <c r="U29" s="15"/>
      <c r="V29" s="15"/>
      <c r="W29" s="15"/>
      <c r="X29" s="15"/>
    </row>
    <row r="30" ht="15.75" customHeight="1">
      <c r="A30" s="15"/>
      <c r="B30" s="210">
        <v>17.0</v>
      </c>
      <c r="C30" s="204" t="str">
        <f>IF('INPUT DATA'!L27="","",'INPUT DATA'!L27)</f>
        <v/>
      </c>
      <c r="D30" s="205"/>
      <c r="E30" s="206"/>
      <c r="F30" s="211"/>
      <c r="G30" s="212"/>
      <c r="H30" s="212"/>
      <c r="I30" s="212"/>
      <c r="J30" s="212"/>
      <c r="K30" s="212"/>
      <c r="L30" s="212"/>
      <c r="M30" s="212"/>
      <c r="N30" s="212"/>
      <c r="O30" s="212"/>
      <c r="P30" s="213"/>
      <c r="Q30" s="15"/>
      <c r="R30" s="15"/>
      <c r="S30" s="15"/>
      <c r="T30" s="15"/>
      <c r="U30" s="15"/>
      <c r="V30" s="15"/>
      <c r="W30" s="15"/>
      <c r="X30" s="15"/>
    </row>
    <row r="31" ht="15.75" customHeight="1">
      <c r="A31" s="15"/>
      <c r="B31" s="210">
        <v>18.0</v>
      </c>
      <c r="C31" s="204" t="str">
        <f>IF('INPUT DATA'!L28="","",'INPUT DATA'!L28)</f>
        <v/>
      </c>
      <c r="D31" s="205"/>
      <c r="E31" s="206"/>
      <c r="F31" s="211"/>
      <c r="G31" s="212"/>
      <c r="H31" s="212"/>
      <c r="I31" s="212"/>
      <c r="J31" s="212"/>
      <c r="K31" s="212"/>
      <c r="L31" s="212"/>
      <c r="M31" s="212"/>
      <c r="N31" s="212"/>
      <c r="O31" s="212"/>
      <c r="P31" s="213"/>
      <c r="Q31" s="15"/>
      <c r="R31" s="15"/>
      <c r="S31" s="15"/>
      <c r="T31" s="15"/>
      <c r="U31" s="15"/>
      <c r="V31" s="15"/>
      <c r="W31" s="15"/>
      <c r="X31" s="15"/>
    </row>
    <row r="32" ht="15.75" customHeight="1">
      <c r="A32" s="15"/>
      <c r="B32" s="210">
        <v>19.0</v>
      </c>
      <c r="C32" s="204" t="str">
        <f>IF('INPUT DATA'!L29="","",'INPUT DATA'!L29)</f>
        <v/>
      </c>
      <c r="D32" s="205"/>
      <c r="E32" s="206"/>
      <c r="F32" s="211"/>
      <c r="G32" s="212"/>
      <c r="H32" s="212"/>
      <c r="I32" s="212"/>
      <c r="J32" s="212"/>
      <c r="K32" s="212"/>
      <c r="L32" s="212"/>
      <c r="M32" s="212"/>
      <c r="N32" s="212"/>
      <c r="O32" s="212"/>
      <c r="P32" s="213"/>
      <c r="Q32" s="15"/>
      <c r="R32" s="15"/>
      <c r="S32" s="15"/>
      <c r="T32" s="15"/>
      <c r="U32" s="15"/>
      <c r="V32" s="15"/>
      <c r="W32" s="15"/>
      <c r="X32" s="15"/>
    </row>
    <row r="33" ht="15.75" customHeight="1">
      <c r="A33" s="15"/>
      <c r="B33" s="231">
        <v>20.0</v>
      </c>
      <c r="C33" s="204" t="str">
        <f>IF('INPUT DATA'!L30="","",'INPUT DATA'!L30)</f>
        <v/>
      </c>
      <c r="D33" s="205"/>
      <c r="E33" s="206"/>
      <c r="F33" s="211"/>
      <c r="G33" s="212"/>
      <c r="H33" s="212"/>
      <c r="I33" s="212"/>
      <c r="J33" s="212"/>
      <c r="K33" s="212"/>
      <c r="L33" s="212"/>
      <c r="M33" s="212"/>
      <c r="N33" s="212"/>
      <c r="O33" s="212"/>
      <c r="P33" s="213"/>
      <c r="Q33" s="15"/>
      <c r="R33" s="15"/>
      <c r="S33" s="15"/>
      <c r="T33" s="15"/>
      <c r="U33" s="15"/>
      <c r="V33" s="15"/>
      <c r="W33" s="15"/>
      <c r="X33" s="15"/>
    </row>
    <row r="34" ht="15.75" customHeight="1">
      <c r="A34" s="15"/>
      <c r="B34" s="231">
        <v>21.0</v>
      </c>
      <c r="C34" s="204" t="str">
        <f>IF('INPUT DATA'!L31="","",'INPUT DATA'!L31)</f>
        <v/>
      </c>
      <c r="D34" s="205"/>
      <c r="E34" s="206"/>
      <c r="F34" s="211"/>
      <c r="G34" s="212"/>
      <c r="H34" s="212"/>
      <c r="I34" s="212"/>
      <c r="J34" s="212"/>
      <c r="K34" s="212"/>
      <c r="L34" s="212"/>
      <c r="M34" s="212"/>
      <c r="N34" s="212"/>
      <c r="O34" s="212"/>
      <c r="P34" s="213"/>
      <c r="Q34" s="15"/>
      <c r="R34" s="15"/>
      <c r="S34" s="15"/>
      <c r="T34" s="15"/>
      <c r="U34" s="15"/>
      <c r="V34" s="15"/>
      <c r="W34" s="15"/>
      <c r="X34" s="15"/>
    </row>
    <row r="35" ht="15.75" customHeight="1">
      <c r="A35" s="15"/>
      <c r="B35" s="231">
        <v>22.0</v>
      </c>
      <c r="C35" s="204" t="str">
        <f>IF('INPUT DATA'!L32="","",'INPUT DATA'!L32)</f>
        <v/>
      </c>
      <c r="D35" s="205"/>
      <c r="E35" s="206"/>
      <c r="F35" s="211"/>
      <c r="G35" s="212"/>
      <c r="H35" s="212"/>
      <c r="I35" s="212"/>
      <c r="J35" s="212"/>
      <c r="K35" s="212"/>
      <c r="L35" s="212"/>
      <c r="M35" s="212"/>
      <c r="N35" s="212"/>
      <c r="O35" s="212"/>
      <c r="P35" s="213"/>
      <c r="Q35" s="15"/>
      <c r="R35" s="15"/>
      <c r="S35" s="15"/>
      <c r="T35" s="15"/>
      <c r="U35" s="15"/>
      <c r="V35" s="15"/>
      <c r="W35" s="15"/>
      <c r="X35" s="15"/>
    </row>
    <row r="36" ht="15.75" customHeight="1">
      <c r="A36" s="15"/>
      <c r="B36" s="231">
        <v>23.0</v>
      </c>
      <c r="C36" s="204" t="str">
        <f>IF('INPUT DATA'!L33="","",'INPUT DATA'!L33)</f>
        <v/>
      </c>
      <c r="D36" s="205"/>
      <c r="E36" s="206"/>
      <c r="F36" s="211"/>
      <c r="G36" s="212"/>
      <c r="H36" s="212"/>
      <c r="I36" s="212"/>
      <c r="J36" s="212"/>
      <c r="K36" s="212"/>
      <c r="L36" s="212"/>
      <c r="M36" s="212"/>
      <c r="N36" s="212"/>
      <c r="O36" s="212"/>
      <c r="P36" s="213"/>
      <c r="Q36" s="15"/>
      <c r="R36" s="15"/>
      <c r="S36" s="15"/>
      <c r="T36" s="15"/>
      <c r="U36" s="15"/>
      <c r="V36" s="15"/>
      <c r="W36" s="15"/>
      <c r="X36" s="15"/>
    </row>
    <row r="37" ht="15.75" customHeight="1">
      <c r="A37" s="15"/>
      <c r="B37" s="231">
        <v>24.0</v>
      </c>
      <c r="C37" s="204" t="str">
        <f>IF('INPUT DATA'!L34="","",'INPUT DATA'!L34)</f>
        <v/>
      </c>
      <c r="D37" s="205"/>
      <c r="E37" s="206"/>
      <c r="F37" s="211"/>
      <c r="G37" s="212"/>
      <c r="H37" s="212"/>
      <c r="I37" s="212"/>
      <c r="J37" s="212"/>
      <c r="K37" s="212"/>
      <c r="L37" s="212"/>
      <c r="M37" s="212"/>
      <c r="N37" s="212"/>
      <c r="O37" s="212"/>
      <c r="P37" s="213"/>
      <c r="Q37" s="15"/>
      <c r="R37" s="15"/>
      <c r="S37" s="15"/>
      <c r="T37" s="15"/>
      <c r="U37" s="15"/>
      <c r="V37" s="15"/>
      <c r="W37" s="15"/>
      <c r="X37" s="15"/>
    </row>
    <row r="38" ht="15.75" customHeight="1">
      <c r="A38" s="15"/>
      <c r="B38" s="231">
        <v>25.0</v>
      </c>
      <c r="C38" s="204" t="str">
        <f>IF('INPUT DATA'!L35="","",'INPUT DATA'!L35)</f>
        <v/>
      </c>
      <c r="D38" s="205"/>
      <c r="E38" s="206"/>
      <c r="F38" s="211"/>
      <c r="G38" s="212"/>
      <c r="H38" s="212"/>
      <c r="I38" s="212"/>
      <c r="J38" s="212"/>
      <c r="K38" s="212"/>
      <c r="L38" s="212"/>
      <c r="M38" s="212"/>
      <c r="N38" s="212"/>
      <c r="O38" s="212"/>
      <c r="P38" s="213"/>
      <c r="Q38" s="15"/>
      <c r="R38" s="15"/>
      <c r="S38" s="15"/>
      <c r="T38" s="15"/>
      <c r="U38" s="15"/>
      <c r="V38" s="15"/>
      <c r="W38" s="15"/>
      <c r="X38" s="15"/>
    </row>
    <row r="39" ht="15.75" customHeight="1">
      <c r="A39" s="15"/>
      <c r="B39" s="231">
        <v>26.0</v>
      </c>
      <c r="C39" s="204" t="str">
        <f>IF('INPUT DATA'!L36="","",'INPUT DATA'!L36)</f>
        <v/>
      </c>
      <c r="D39" s="205"/>
      <c r="E39" s="206"/>
      <c r="F39" s="211"/>
      <c r="G39" s="212"/>
      <c r="H39" s="212"/>
      <c r="I39" s="212"/>
      <c r="J39" s="212"/>
      <c r="K39" s="212"/>
      <c r="L39" s="212"/>
      <c r="M39" s="212"/>
      <c r="N39" s="212"/>
      <c r="O39" s="212"/>
      <c r="P39" s="213"/>
      <c r="Q39" s="15"/>
      <c r="R39" s="15"/>
      <c r="S39" s="15"/>
      <c r="T39" s="15"/>
      <c r="U39" s="15"/>
      <c r="V39" s="15"/>
      <c r="W39" s="15"/>
      <c r="X39" s="15"/>
    </row>
    <row r="40" ht="15.75" customHeight="1">
      <c r="A40" s="15"/>
      <c r="B40" s="231">
        <v>27.0</v>
      </c>
      <c r="C40" s="204" t="str">
        <f>IF('INPUT DATA'!L37="","",'INPUT DATA'!L37)</f>
        <v/>
      </c>
      <c r="D40" s="205"/>
      <c r="E40" s="206"/>
      <c r="F40" s="211"/>
      <c r="G40" s="212"/>
      <c r="H40" s="212"/>
      <c r="I40" s="212"/>
      <c r="J40" s="212"/>
      <c r="K40" s="212"/>
      <c r="L40" s="212"/>
      <c r="M40" s="212"/>
      <c r="N40" s="212"/>
      <c r="O40" s="212"/>
      <c r="P40" s="213"/>
      <c r="Q40" s="15"/>
      <c r="R40" s="15"/>
      <c r="S40" s="15"/>
      <c r="T40" s="15"/>
      <c r="U40" s="15"/>
      <c r="V40" s="15"/>
      <c r="W40" s="15"/>
      <c r="X40" s="15"/>
    </row>
    <row r="41" ht="15.75" customHeight="1">
      <c r="A41" s="15"/>
      <c r="B41" s="231">
        <v>28.0</v>
      </c>
      <c r="C41" s="204" t="str">
        <f>IF('INPUT DATA'!L38="","",'INPUT DATA'!L38)</f>
        <v/>
      </c>
      <c r="D41" s="205"/>
      <c r="E41" s="206"/>
      <c r="F41" s="211"/>
      <c r="G41" s="212"/>
      <c r="H41" s="212"/>
      <c r="I41" s="212"/>
      <c r="J41" s="212"/>
      <c r="K41" s="212"/>
      <c r="L41" s="212"/>
      <c r="M41" s="212"/>
      <c r="N41" s="212"/>
      <c r="O41" s="212"/>
      <c r="P41" s="213"/>
      <c r="Q41" s="15"/>
      <c r="R41" s="15"/>
      <c r="S41" s="15"/>
      <c r="T41" s="15"/>
      <c r="U41" s="15"/>
      <c r="V41" s="15"/>
      <c r="W41" s="15"/>
      <c r="X41" s="15"/>
    </row>
    <row r="42" ht="15.75" customHeight="1">
      <c r="A42" s="15"/>
      <c r="B42" s="231">
        <v>29.0</v>
      </c>
      <c r="C42" s="204" t="str">
        <f>IF('INPUT DATA'!L39="","",'INPUT DATA'!L39)</f>
        <v/>
      </c>
      <c r="D42" s="205"/>
      <c r="E42" s="206"/>
      <c r="F42" s="211"/>
      <c r="G42" s="212"/>
      <c r="H42" s="212"/>
      <c r="I42" s="212"/>
      <c r="J42" s="212"/>
      <c r="K42" s="212"/>
      <c r="L42" s="212"/>
      <c r="M42" s="212"/>
      <c r="N42" s="212"/>
      <c r="O42" s="212"/>
      <c r="P42" s="213"/>
      <c r="Q42" s="15"/>
      <c r="R42" s="15"/>
      <c r="S42" s="15"/>
      <c r="T42" s="15"/>
      <c r="U42" s="15"/>
      <c r="V42" s="15"/>
      <c r="W42" s="15"/>
      <c r="X42" s="15"/>
    </row>
    <row r="43" ht="15.75" customHeight="1">
      <c r="A43" s="15"/>
      <c r="B43" s="231">
        <v>30.0</v>
      </c>
      <c r="C43" s="204" t="str">
        <f>IF('INPUT DATA'!L40="","",'INPUT DATA'!L40)</f>
        <v/>
      </c>
      <c r="D43" s="205"/>
      <c r="E43" s="206"/>
      <c r="F43" s="211"/>
      <c r="G43" s="212"/>
      <c r="H43" s="212"/>
      <c r="I43" s="212"/>
      <c r="J43" s="212"/>
      <c r="K43" s="212"/>
      <c r="L43" s="212"/>
      <c r="M43" s="212"/>
      <c r="N43" s="212"/>
      <c r="O43" s="212"/>
      <c r="P43" s="213"/>
      <c r="Q43" s="15"/>
      <c r="R43" s="15"/>
      <c r="S43" s="15"/>
      <c r="T43" s="15"/>
      <c r="U43" s="15"/>
      <c r="V43" s="15"/>
      <c r="W43" s="15"/>
      <c r="X43" s="15"/>
    </row>
    <row r="44" ht="15.75" customHeight="1">
      <c r="A44" s="15"/>
      <c r="B44" s="231">
        <v>31.0</v>
      </c>
      <c r="C44" s="204" t="str">
        <f>IF('INPUT DATA'!L41="","",'INPUT DATA'!L41)</f>
        <v/>
      </c>
      <c r="D44" s="205"/>
      <c r="E44" s="206"/>
      <c r="F44" s="211"/>
      <c r="G44" s="212"/>
      <c r="H44" s="212"/>
      <c r="I44" s="212"/>
      <c r="J44" s="212"/>
      <c r="K44" s="212"/>
      <c r="L44" s="212"/>
      <c r="M44" s="212"/>
      <c r="N44" s="212"/>
      <c r="O44" s="212"/>
      <c r="P44" s="213"/>
      <c r="Q44" s="15"/>
      <c r="R44" s="15"/>
      <c r="S44" s="15"/>
      <c r="T44" s="15"/>
      <c r="U44" s="15"/>
      <c r="V44" s="15"/>
      <c r="W44" s="15"/>
      <c r="X44" s="15"/>
    </row>
    <row r="45" ht="15.75" customHeight="1">
      <c r="A45" s="15"/>
      <c r="B45" s="231">
        <v>32.0</v>
      </c>
      <c r="C45" s="204" t="str">
        <f>IF('INPUT DATA'!L42="","",'INPUT DATA'!L42)</f>
        <v/>
      </c>
      <c r="D45" s="205"/>
      <c r="E45" s="206"/>
      <c r="F45" s="211"/>
      <c r="G45" s="212"/>
      <c r="H45" s="212"/>
      <c r="I45" s="212"/>
      <c r="J45" s="212"/>
      <c r="K45" s="212"/>
      <c r="L45" s="212"/>
      <c r="M45" s="212"/>
      <c r="N45" s="212"/>
      <c r="O45" s="212"/>
      <c r="P45" s="213"/>
      <c r="Q45" s="15"/>
      <c r="R45" s="15"/>
      <c r="S45" s="15"/>
      <c r="T45" s="15"/>
      <c r="U45" s="15"/>
      <c r="V45" s="15"/>
      <c r="W45" s="15"/>
      <c r="X45" s="15"/>
    </row>
    <row r="46" ht="15.75" customHeight="1">
      <c r="A46" s="15"/>
      <c r="B46" s="231">
        <v>33.0</v>
      </c>
      <c r="C46" s="204" t="str">
        <f>IF('INPUT DATA'!L43="","",'INPUT DATA'!L43)</f>
        <v/>
      </c>
      <c r="D46" s="205"/>
      <c r="E46" s="206"/>
      <c r="F46" s="211"/>
      <c r="G46" s="212"/>
      <c r="H46" s="212"/>
      <c r="I46" s="212"/>
      <c r="J46" s="212"/>
      <c r="K46" s="212"/>
      <c r="L46" s="212"/>
      <c r="M46" s="212"/>
      <c r="N46" s="212"/>
      <c r="O46" s="212"/>
      <c r="P46" s="213"/>
      <c r="Q46" s="15"/>
      <c r="R46" s="15"/>
      <c r="S46" s="15"/>
      <c r="T46" s="15"/>
      <c r="U46" s="15"/>
      <c r="V46" s="15"/>
      <c r="W46" s="15"/>
      <c r="X46" s="15"/>
    </row>
    <row r="47" ht="15.75" customHeight="1">
      <c r="A47" s="15"/>
      <c r="B47" s="231">
        <v>34.0</v>
      </c>
      <c r="C47" s="204" t="str">
        <f>IF('INPUT DATA'!L44="","",'INPUT DATA'!L44)</f>
        <v/>
      </c>
      <c r="D47" s="205"/>
      <c r="E47" s="206"/>
      <c r="F47" s="211"/>
      <c r="G47" s="212"/>
      <c r="H47" s="212"/>
      <c r="I47" s="212"/>
      <c r="J47" s="212"/>
      <c r="K47" s="212"/>
      <c r="L47" s="212"/>
      <c r="M47" s="212"/>
      <c r="N47" s="212"/>
      <c r="O47" s="212"/>
      <c r="P47" s="213"/>
      <c r="Q47" s="15"/>
      <c r="R47" s="15"/>
      <c r="S47" s="15"/>
      <c r="T47" s="15"/>
      <c r="U47" s="15"/>
      <c r="V47" s="15"/>
      <c r="W47" s="15"/>
      <c r="X47" s="15"/>
    </row>
    <row r="48" ht="15.75" customHeight="1">
      <c r="A48" s="15"/>
      <c r="B48" s="231">
        <v>35.0</v>
      </c>
      <c r="C48" s="204" t="str">
        <f>IF('INPUT DATA'!L45="","",'INPUT DATA'!L45)</f>
        <v/>
      </c>
      <c r="D48" s="205"/>
      <c r="E48" s="206"/>
      <c r="F48" s="211"/>
      <c r="G48" s="212"/>
      <c r="H48" s="212"/>
      <c r="I48" s="212"/>
      <c r="J48" s="212"/>
      <c r="K48" s="212"/>
      <c r="L48" s="212"/>
      <c r="M48" s="212"/>
      <c r="N48" s="212"/>
      <c r="O48" s="212"/>
      <c r="P48" s="213"/>
      <c r="Q48" s="15"/>
      <c r="R48" s="15"/>
      <c r="S48" s="15"/>
      <c r="T48" s="15"/>
      <c r="U48" s="15"/>
      <c r="V48" s="15"/>
      <c r="W48" s="15"/>
      <c r="X48" s="15"/>
    </row>
    <row r="49" ht="15.75" customHeight="1">
      <c r="A49" s="15"/>
      <c r="B49" s="231">
        <v>36.0</v>
      </c>
      <c r="C49" s="204" t="str">
        <f>IF('INPUT DATA'!L46="","",'INPUT DATA'!L46)</f>
        <v/>
      </c>
      <c r="D49" s="205"/>
      <c r="E49" s="206"/>
      <c r="F49" s="211"/>
      <c r="G49" s="212"/>
      <c r="H49" s="212"/>
      <c r="I49" s="212"/>
      <c r="J49" s="212"/>
      <c r="K49" s="212"/>
      <c r="L49" s="212"/>
      <c r="M49" s="212"/>
      <c r="N49" s="212"/>
      <c r="O49" s="212"/>
      <c r="P49" s="213"/>
      <c r="Q49" s="15"/>
      <c r="R49" s="15"/>
      <c r="S49" s="15"/>
      <c r="T49" s="15"/>
      <c r="U49" s="15"/>
      <c r="V49" s="15"/>
      <c r="W49" s="15"/>
      <c r="X49" s="15"/>
    </row>
    <row r="50" ht="15.75" customHeight="1">
      <c r="A50" s="15"/>
      <c r="B50" s="231">
        <v>37.0</v>
      </c>
      <c r="C50" s="204" t="str">
        <f>IF('INPUT DATA'!L47="","",'INPUT DATA'!L47)</f>
        <v/>
      </c>
      <c r="D50" s="205"/>
      <c r="E50" s="206"/>
      <c r="F50" s="211"/>
      <c r="G50" s="212"/>
      <c r="H50" s="212"/>
      <c r="I50" s="212"/>
      <c r="J50" s="212"/>
      <c r="K50" s="212"/>
      <c r="L50" s="212"/>
      <c r="M50" s="212"/>
      <c r="N50" s="212"/>
      <c r="O50" s="212"/>
      <c r="P50" s="213"/>
      <c r="Q50" s="15"/>
      <c r="R50" s="15"/>
      <c r="S50" s="15"/>
      <c r="T50" s="15"/>
      <c r="U50" s="15"/>
      <c r="V50" s="15"/>
      <c r="W50" s="15"/>
      <c r="X50" s="15"/>
    </row>
    <row r="51" ht="15.75" customHeight="1">
      <c r="A51" s="15"/>
      <c r="B51" s="231">
        <v>38.0</v>
      </c>
      <c r="C51" s="204" t="str">
        <f>IF('INPUT DATA'!L48="","",'INPUT DATA'!L48)</f>
        <v/>
      </c>
      <c r="D51" s="205"/>
      <c r="E51" s="206"/>
      <c r="F51" s="211"/>
      <c r="G51" s="212"/>
      <c r="H51" s="212"/>
      <c r="I51" s="212"/>
      <c r="J51" s="212"/>
      <c r="K51" s="212"/>
      <c r="L51" s="212"/>
      <c r="M51" s="212"/>
      <c r="N51" s="212"/>
      <c r="O51" s="212"/>
      <c r="P51" s="213"/>
      <c r="Q51" s="15"/>
      <c r="R51" s="15"/>
      <c r="S51" s="15"/>
      <c r="T51" s="15"/>
      <c r="U51" s="15"/>
      <c r="V51" s="15"/>
      <c r="W51" s="15"/>
      <c r="X51" s="15"/>
    </row>
    <row r="52" ht="15.75" customHeight="1">
      <c r="A52" s="15"/>
      <c r="B52" s="231">
        <v>39.0</v>
      </c>
      <c r="C52" s="204" t="str">
        <f>IF('INPUT DATA'!L49="","",'INPUT DATA'!L49)</f>
        <v/>
      </c>
      <c r="D52" s="205"/>
      <c r="E52" s="206"/>
      <c r="F52" s="211"/>
      <c r="G52" s="212"/>
      <c r="H52" s="212"/>
      <c r="I52" s="212"/>
      <c r="J52" s="212"/>
      <c r="K52" s="212"/>
      <c r="L52" s="212"/>
      <c r="M52" s="212"/>
      <c r="N52" s="212"/>
      <c r="O52" s="212"/>
      <c r="P52" s="213"/>
      <c r="Q52" s="15"/>
      <c r="R52" s="15"/>
      <c r="S52" s="15"/>
      <c r="T52" s="15"/>
      <c r="U52" s="15"/>
      <c r="V52" s="15"/>
      <c r="W52" s="15"/>
      <c r="X52" s="15"/>
    </row>
    <row r="53" ht="15.75" customHeight="1">
      <c r="A53" s="15"/>
      <c r="B53" s="231">
        <v>40.0</v>
      </c>
      <c r="C53" s="204" t="str">
        <f>IF('INPUT DATA'!L50="","",'INPUT DATA'!L50)</f>
        <v/>
      </c>
      <c r="D53" s="205"/>
      <c r="E53" s="206"/>
      <c r="F53" s="211"/>
      <c r="G53" s="212"/>
      <c r="H53" s="212"/>
      <c r="I53" s="212"/>
      <c r="J53" s="212"/>
      <c r="K53" s="212"/>
      <c r="L53" s="212"/>
      <c r="M53" s="212"/>
      <c r="N53" s="212"/>
      <c r="O53" s="212"/>
      <c r="P53" s="213"/>
      <c r="Q53" s="15"/>
      <c r="R53" s="15"/>
      <c r="S53" s="15"/>
      <c r="T53" s="15"/>
      <c r="U53" s="15"/>
      <c r="V53" s="15"/>
      <c r="W53" s="15"/>
      <c r="X53" s="15"/>
    </row>
    <row r="54" ht="15.75" customHeight="1">
      <c r="A54" s="15"/>
      <c r="B54" s="231">
        <v>41.0</v>
      </c>
      <c r="C54" s="204" t="str">
        <f>IF('INPUT DATA'!L51="","",'INPUT DATA'!L51)</f>
        <v/>
      </c>
      <c r="D54" s="205"/>
      <c r="E54" s="206"/>
      <c r="F54" s="211"/>
      <c r="G54" s="212"/>
      <c r="H54" s="212"/>
      <c r="I54" s="212"/>
      <c r="J54" s="212"/>
      <c r="K54" s="212"/>
      <c r="L54" s="212"/>
      <c r="M54" s="212"/>
      <c r="N54" s="212"/>
      <c r="O54" s="212"/>
      <c r="P54" s="213"/>
      <c r="Q54" s="15"/>
      <c r="R54" s="15"/>
      <c r="S54" s="15"/>
      <c r="T54" s="15"/>
      <c r="U54" s="15"/>
      <c r="V54" s="15"/>
      <c r="W54" s="15"/>
      <c r="X54" s="15"/>
    </row>
    <row r="55" ht="15.75" customHeight="1">
      <c r="A55" s="15"/>
      <c r="B55" s="231">
        <v>42.0</v>
      </c>
      <c r="C55" s="204" t="str">
        <f>IF('INPUT DATA'!L52="","",'INPUT DATA'!L52)</f>
        <v/>
      </c>
      <c r="D55" s="205"/>
      <c r="E55" s="206"/>
      <c r="F55" s="211"/>
      <c r="G55" s="212"/>
      <c r="H55" s="212"/>
      <c r="I55" s="212"/>
      <c r="J55" s="212"/>
      <c r="K55" s="212"/>
      <c r="L55" s="212"/>
      <c r="M55" s="212"/>
      <c r="N55" s="212"/>
      <c r="O55" s="212"/>
      <c r="P55" s="213"/>
      <c r="Q55" s="15"/>
      <c r="R55" s="15"/>
      <c r="S55" s="15"/>
      <c r="T55" s="15"/>
      <c r="U55" s="15"/>
      <c r="V55" s="15"/>
      <c r="W55" s="15"/>
      <c r="X55" s="15"/>
    </row>
    <row r="56" ht="15.75" customHeight="1">
      <c r="A56" s="15"/>
      <c r="B56" s="231">
        <v>43.0</v>
      </c>
      <c r="C56" s="204" t="str">
        <f>IF('INPUT DATA'!L53="","",'INPUT DATA'!L53)</f>
        <v/>
      </c>
      <c r="D56" s="205"/>
      <c r="E56" s="206"/>
      <c r="F56" s="211"/>
      <c r="G56" s="212"/>
      <c r="H56" s="212"/>
      <c r="I56" s="212"/>
      <c r="J56" s="212"/>
      <c r="K56" s="212"/>
      <c r="L56" s="212"/>
      <c r="M56" s="212"/>
      <c r="N56" s="212"/>
      <c r="O56" s="212"/>
      <c r="P56" s="213"/>
      <c r="Q56" s="15"/>
      <c r="R56" s="15"/>
      <c r="S56" s="15"/>
      <c r="T56" s="15"/>
      <c r="U56" s="15"/>
      <c r="V56" s="15"/>
      <c r="W56" s="15"/>
      <c r="X56" s="15"/>
    </row>
    <row r="57" ht="15.75" customHeight="1">
      <c r="A57" s="15"/>
      <c r="B57" s="231">
        <v>44.0</v>
      </c>
      <c r="C57" s="204" t="str">
        <f>IF('INPUT DATA'!L54="","",'INPUT DATA'!L54)</f>
        <v/>
      </c>
      <c r="D57" s="205"/>
      <c r="E57" s="206"/>
      <c r="F57" s="211"/>
      <c r="G57" s="212"/>
      <c r="H57" s="212"/>
      <c r="I57" s="212"/>
      <c r="J57" s="212"/>
      <c r="K57" s="212"/>
      <c r="L57" s="212"/>
      <c r="M57" s="212"/>
      <c r="N57" s="212"/>
      <c r="O57" s="212"/>
      <c r="P57" s="213"/>
      <c r="Q57" s="15"/>
      <c r="R57" s="15"/>
      <c r="S57" s="15"/>
      <c r="T57" s="15"/>
      <c r="U57" s="15"/>
      <c r="V57" s="15"/>
      <c r="W57" s="15"/>
      <c r="X57" s="15"/>
    </row>
    <row r="58" ht="15.75" customHeight="1">
      <c r="A58" s="15"/>
      <c r="B58" s="231">
        <v>45.0</v>
      </c>
      <c r="C58" s="204" t="str">
        <f>IF('INPUT DATA'!L55="","",'INPUT DATA'!L55)</f>
        <v/>
      </c>
      <c r="D58" s="205"/>
      <c r="E58" s="206"/>
      <c r="F58" s="211"/>
      <c r="G58" s="212"/>
      <c r="H58" s="212"/>
      <c r="I58" s="212"/>
      <c r="J58" s="212"/>
      <c r="K58" s="212"/>
      <c r="L58" s="212"/>
      <c r="M58" s="212"/>
      <c r="N58" s="212"/>
      <c r="O58" s="212"/>
      <c r="P58" s="213"/>
      <c r="Q58" s="15"/>
      <c r="R58" s="15"/>
      <c r="S58" s="15"/>
      <c r="T58" s="15"/>
      <c r="U58" s="15"/>
      <c r="V58" s="15"/>
      <c r="W58" s="15"/>
      <c r="X58" s="15"/>
    </row>
    <row r="59" ht="15.75" customHeight="1">
      <c r="A59" s="15"/>
      <c r="B59" s="231">
        <v>46.0</v>
      </c>
      <c r="C59" s="204" t="str">
        <f>IF('INPUT DATA'!L56="","",'INPUT DATA'!L56)</f>
        <v/>
      </c>
      <c r="D59" s="205"/>
      <c r="E59" s="206"/>
      <c r="F59" s="211"/>
      <c r="G59" s="212"/>
      <c r="H59" s="212"/>
      <c r="I59" s="212"/>
      <c r="J59" s="212"/>
      <c r="K59" s="212"/>
      <c r="L59" s="212"/>
      <c r="M59" s="212"/>
      <c r="N59" s="212"/>
      <c r="O59" s="212"/>
      <c r="P59" s="213"/>
      <c r="Q59" s="15"/>
      <c r="R59" s="15"/>
      <c r="S59" s="15"/>
      <c r="T59" s="15"/>
      <c r="U59" s="15"/>
      <c r="V59" s="15"/>
      <c r="W59" s="15"/>
      <c r="X59" s="15"/>
    </row>
    <row r="60" ht="15.75" customHeight="1">
      <c r="A60" s="15"/>
      <c r="B60" s="231">
        <v>47.0</v>
      </c>
      <c r="C60" s="204" t="str">
        <f>IF('INPUT DATA'!L57="","",'INPUT DATA'!L57)</f>
        <v/>
      </c>
      <c r="D60" s="205"/>
      <c r="E60" s="206"/>
      <c r="F60" s="211"/>
      <c r="G60" s="212"/>
      <c r="H60" s="212"/>
      <c r="I60" s="212"/>
      <c r="J60" s="212"/>
      <c r="K60" s="212"/>
      <c r="L60" s="212"/>
      <c r="M60" s="212"/>
      <c r="N60" s="212"/>
      <c r="O60" s="212"/>
      <c r="P60" s="213"/>
      <c r="Q60" s="15"/>
      <c r="R60" s="15"/>
      <c r="S60" s="15"/>
      <c r="T60" s="15"/>
      <c r="U60" s="15"/>
      <c r="V60" s="15"/>
      <c r="W60" s="15"/>
      <c r="X60" s="15"/>
    </row>
    <row r="61" ht="15.75" customHeight="1">
      <c r="A61" s="15"/>
      <c r="B61" s="231">
        <v>48.0</v>
      </c>
      <c r="C61" s="204" t="str">
        <f>IF('INPUT DATA'!L58="","",'INPUT DATA'!L58)</f>
        <v/>
      </c>
      <c r="D61" s="205"/>
      <c r="E61" s="206"/>
      <c r="F61" s="211"/>
      <c r="G61" s="212"/>
      <c r="H61" s="212"/>
      <c r="I61" s="212"/>
      <c r="J61" s="212"/>
      <c r="K61" s="212"/>
      <c r="L61" s="212"/>
      <c r="M61" s="212"/>
      <c r="N61" s="212"/>
      <c r="O61" s="212"/>
      <c r="P61" s="213"/>
      <c r="Q61" s="15"/>
      <c r="R61" s="15"/>
      <c r="S61" s="15"/>
      <c r="T61" s="15"/>
      <c r="U61" s="15"/>
      <c r="V61" s="15"/>
      <c r="W61" s="15"/>
      <c r="X61" s="15"/>
    </row>
    <row r="62" ht="15.75" customHeight="1">
      <c r="A62" s="15"/>
      <c r="B62" s="231">
        <v>49.0</v>
      </c>
      <c r="C62" s="204" t="str">
        <f>IF('INPUT DATA'!L59="","",'INPUT DATA'!L59)</f>
        <v/>
      </c>
      <c r="D62" s="205"/>
      <c r="E62" s="206"/>
      <c r="F62" s="211"/>
      <c r="G62" s="212"/>
      <c r="H62" s="212"/>
      <c r="I62" s="212"/>
      <c r="J62" s="212"/>
      <c r="K62" s="212"/>
      <c r="L62" s="212"/>
      <c r="M62" s="212"/>
      <c r="N62" s="212"/>
      <c r="O62" s="212"/>
      <c r="P62" s="213"/>
      <c r="Q62" s="15"/>
      <c r="R62" s="15"/>
      <c r="S62" s="15"/>
      <c r="T62" s="15"/>
      <c r="U62" s="15"/>
      <c r="V62" s="15"/>
      <c r="W62" s="15"/>
      <c r="X62" s="15"/>
    </row>
    <row r="63" ht="15.75" customHeight="1">
      <c r="A63" s="15"/>
      <c r="B63" s="231">
        <v>50.0</v>
      </c>
      <c r="C63" s="204" t="str">
        <f>IF('INPUT DATA'!L60="","",'INPUT DATA'!L60)</f>
        <v/>
      </c>
      <c r="D63" s="205"/>
      <c r="E63" s="206"/>
      <c r="F63" s="253"/>
      <c r="G63" s="254"/>
      <c r="H63" s="254"/>
      <c r="I63" s="254"/>
      <c r="J63" s="254"/>
      <c r="K63" s="254"/>
      <c r="L63" s="254"/>
      <c r="M63" s="254"/>
      <c r="N63" s="254"/>
      <c r="O63" s="254"/>
      <c r="P63" s="255"/>
      <c r="Q63" s="15"/>
      <c r="R63" s="15"/>
      <c r="S63" s="15"/>
      <c r="T63" s="15"/>
      <c r="U63" s="15"/>
      <c r="V63" s="15"/>
      <c r="W63" s="15"/>
      <c r="X63" s="15"/>
    </row>
    <row r="64" ht="15.75" customHeight="1">
      <c r="A64" s="15"/>
      <c r="B64" s="257" t="s">
        <v>12</v>
      </c>
      <c r="C64" s="259"/>
      <c r="D64" s="259"/>
      <c r="E64" s="260"/>
      <c r="F64" s="29"/>
      <c r="G64" s="29"/>
      <c r="H64" s="29"/>
      <c r="I64" s="29"/>
      <c r="J64" s="29"/>
      <c r="K64" s="29"/>
      <c r="L64" s="29"/>
      <c r="M64" s="29"/>
      <c r="N64" s="29"/>
      <c r="O64" s="29"/>
      <c r="P64" s="30"/>
      <c r="Q64" s="15"/>
      <c r="R64" s="15"/>
      <c r="S64" s="15"/>
      <c r="T64" s="15"/>
      <c r="U64" s="15"/>
      <c r="V64" s="15"/>
      <c r="W64" s="15"/>
      <c r="X64" s="15"/>
    </row>
    <row r="65" ht="15.75" customHeight="1">
      <c r="A65" s="15"/>
      <c r="B65" s="203">
        <v>1.0</v>
      </c>
      <c r="C65" s="204" t="str">
        <f>IF('INPUT DATA'!Q11="","",'INPUT DATA'!Q11)</f>
        <v/>
      </c>
      <c r="D65" s="205"/>
      <c r="E65" s="206"/>
      <c r="F65" s="212">
        <v>15.0</v>
      </c>
      <c r="G65" s="212">
        <v>20.0</v>
      </c>
      <c r="H65" s="212">
        <v>20.0</v>
      </c>
      <c r="I65" s="212">
        <v>20.0</v>
      </c>
      <c r="J65" s="212">
        <v>17.0</v>
      </c>
      <c r="K65" s="212">
        <v>20.0</v>
      </c>
      <c r="L65" s="212">
        <v>20.0</v>
      </c>
      <c r="M65" s="212">
        <v>18.0</v>
      </c>
      <c r="N65" s="212">
        <v>18.0</v>
      </c>
      <c r="O65" s="212">
        <v>20.0</v>
      </c>
      <c r="P65" s="213">
        <v>2.0</v>
      </c>
      <c r="Q65" s="15"/>
      <c r="R65" s="15"/>
      <c r="S65" s="15"/>
      <c r="T65" s="15"/>
      <c r="U65" s="15"/>
      <c r="V65" s="15"/>
      <c r="W65" s="15"/>
      <c r="X65" s="15"/>
    </row>
    <row r="66" ht="15.75" customHeight="1">
      <c r="A66" s="15"/>
      <c r="B66" s="210">
        <v>2.0</v>
      </c>
      <c r="C66" s="204" t="str">
        <f>IF('INPUT DATA'!Q12="","",'INPUT DATA'!Q12)</f>
        <v/>
      </c>
      <c r="D66" s="205"/>
      <c r="E66" s="206"/>
      <c r="F66" s="212">
        <v>20.0</v>
      </c>
      <c r="G66" s="212">
        <v>16.0</v>
      </c>
      <c r="H66" s="212">
        <v>20.0</v>
      </c>
      <c r="I66" s="212">
        <v>19.0</v>
      </c>
      <c r="J66" s="212">
        <v>20.0</v>
      </c>
      <c r="K66" s="212">
        <v>20.0</v>
      </c>
      <c r="L66" s="212">
        <v>20.0</v>
      </c>
      <c r="M66" s="212">
        <v>18.0</v>
      </c>
      <c r="N66" s="212">
        <v>18.0</v>
      </c>
      <c r="O66" s="212">
        <v>20.0</v>
      </c>
      <c r="P66" s="213">
        <v>5.0</v>
      </c>
      <c r="Q66" s="15"/>
      <c r="R66" s="15"/>
      <c r="S66" s="15"/>
      <c r="T66" s="15"/>
      <c r="U66" s="15"/>
      <c r="V66" s="15"/>
      <c r="W66" s="15"/>
      <c r="X66" s="15"/>
    </row>
    <row r="67" ht="15.75" customHeight="1">
      <c r="A67" s="15"/>
      <c r="B67" s="210">
        <v>3.0</v>
      </c>
      <c r="C67" s="204" t="str">
        <f>IF('INPUT DATA'!Q13="","",'INPUT DATA'!Q13)</f>
        <v/>
      </c>
      <c r="D67" s="205"/>
      <c r="E67" s="206"/>
      <c r="F67" s="212">
        <v>18.0</v>
      </c>
      <c r="G67" s="212">
        <v>20.0</v>
      </c>
      <c r="H67" s="212">
        <v>20.0</v>
      </c>
      <c r="I67" s="212">
        <v>20.0</v>
      </c>
      <c r="J67" s="212">
        <v>20.0</v>
      </c>
      <c r="K67" s="212">
        <v>19.0</v>
      </c>
      <c r="L67" s="212">
        <v>20.0</v>
      </c>
      <c r="M67" s="212">
        <v>18.0</v>
      </c>
      <c r="N67" s="212">
        <v>18.0</v>
      </c>
      <c r="O67" s="212">
        <v>20.0</v>
      </c>
      <c r="P67" s="213">
        <v>3.0</v>
      </c>
      <c r="Q67" s="15"/>
      <c r="R67" s="15"/>
      <c r="S67" s="15"/>
      <c r="T67" s="15"/>
      <c r="U67" s="15"/>
      <c r="V67" s="15"/>
      <c r="W67" s="15"/>
      <c r="X67" s="15"/>
    </row>
    <row r="68" ht="15.75" customHeight="1">
      <c r="A68" s="15"/>
      <c r="B68" s="210">
        <v>4.0</v>
      </c>
      <c r="C68" s="204" t="str">
        <f>IF('INPUT DATA'!Q14="","",'INPUT DATA'!Q14)</f>
        <v/>
      </c>
      <c r="D68" s="205"/>
      <c r="E68" s="206"/>
      <c r="F68" s="211"/>
      <c r="G68" s="212"/>
      <c r="H68" s="212"/>
      <c r="I68" s="212"/>
      <c r="J68" s="212"/>
      <c r="K68" s="212"/>
      <c r="L68" s="212"/>
      <c r="M68" s="212"/>
      <c r="N68" s="212"/>
      <c r="O68" s="212"/>
      <c r="P68" s="213"/>
      <c r="Q68" s="15"/>
      <c r="R68" s="15"/>
      <c r="S68" s="15"/>
      <c r="T68" s="15"/>
      <c r="U68" s="15"/>
      <c r="V68" s="15"/>
      <c r="W68" s="15"/>
      <c r="X68" s="15"/>
    </row>
    <row r="69" ht="15.75" customHeight="1">
      <c r="A69" s="15"/>
      <c r="B69" s="210">
        <v>5.0</v>
      </c>
      <c r="C69" s="204" t="str">
        <f>IF('INPUT DATA'!Q15="","",'INPUT DATA'!Q15)</f>
        <v/>
      </c>
      <c r="D69" s="205"/>
      <c r="E69" s="206"/>
      <c r="F69" s="211"/>
      <c r="G69" s="212"/>
      <c r="H69" s="212"/>
      <c r="I69" s="212"/>
      <c r="J69" s="212"/>
      <c r="K69" s="212"/>
      <c r="L69" s="212"/>
      <c r="M69" s="212"/>
      <c r="N69" s="212"/>
      <c r="O69" s="212"/>
      <c r="P69" s="213"/>
      <c r="Q69" s="15"/>
      <c r="R69" s="15"/>
      <c r="S69" s="15"/>
      <c r="T69" s="15"/>
      <c r="U69" s="15"/>
      <c r="V69" s="15"/>
      <c r="W69" s="15"/>
      <c r="X69" s="15"/>
    </row>
    <row r="70" ht="15.75" customHeight="1">
      <c r="A70" s="15"/>
      <c r="B70" s="210">
        <v>6.0</v>
      </c>
      <c r="C70" s="204" t="str">
        <f>IF('INPUT DATA'!Q16="","",'INPUT DATA'!Q16)</f>
        <v/>
      </c>
      <c r="D70" s="205"/>
      <c r="E70" s="206"/>
      <c r="F70" s="211"/>
      <c r="G70" s="212"/>
      <c r="H70" s="212"/>
      <c r="I70" s="212"/>
      <c r="J70" s="212"/>
      <c r="K70" s="212"/>
      <c r="L70" s="212"/>
      <c r="M70" s="212"/>
      <c r="N70" s="212"/>
      <c r="O70" s="212"/>
      <c r="P70" s="213"/>
      <c r="Q70" s="15"/>
      <c r="R70" s="15"/>
      <c r="S70" s="15"/>
      <c r="T70" s="15"/>
      <c r="U70" s="15"/>
      <c r="V70" s="15"/>
      <c r="W70" s="15"/>
      <c r="X70" s="15"/>
    </row>
    <row r="71" ht="15.75" customHeight="1">
      <c r="A71" s="15"/>
      <c r="B71" s="210">
        <v>7.0</v>
      </c>
      <c r="C71" s="204" t="str">
        <f>IF('INPUT DATA'!Q17="","",'INPUT DATA'!Q17)</f>
        <v/>
      </c>
      <c r="D71" s="205"/>
      <c r="E71" s="206"/>
      <c r="F71" s="211"/>
      <c r="G71" s="212"/>
      <c r="H71" s="212"/>
      <c r="I71" s="212"/>
      <c r="J71" s="212"/>
      <c r="K71" s="212"/>
      <c r="L71" s="212"/>
      <c r="M71" s="212"/>
      <c r="N71" s="212"/>
      <c r="O71" s="212"/>
      <c r="P71" s="213"/>
      <c r="Q71" s="15"/>
      <c r="R71" s="15"/>
      <c r="S71" s="15"/>
      <c r="T71" s="15"/>
      <c r="U71" s="15"/>
      <c r="V71" s="15"/>
      <c r="W71" s="15"/>
      <c r="X71" s="15"/>
    </row>
    <row r="72" ht="15.75" customHeight="1">
      <c r="A72" s="15"/>
      <c r="B72" s="210">
        <v>8.0</v>
      </c>
      <c r="C72" s="204" t="str">
        <f>IF('INPUT DATA'!Q18="","",'INPUT DATA'!Q18)</f>
        <v/>
      </c>
      <c r="D72" s="205"/>
      <c r="E72" s="206"/>
      <c r="F72" s="211"/>
      <c r="G72" s="212"/>
      <c r="H72" s="212"/>
      <c r="I72" s="212"/>
      <c r="J72" s="212"/>
      <c r="K72" s="212"/>
      <c r="L72" s="212"/>
      <c r="M72" s="212"/>
      <c r="N72" s="212"/>
      <c r="O72" s="212"/>
      <c r="P72" s="213"/>
      <c r="Q72" s="15"/>
      <c r="R72" s="15"/>
      <c r="S72" s="15"/>
      <c r="T72" s="15"/>
      <c r="U72" s="15"/>
      <c r="V72" s="15"/>
      <c r="W72" s="15"/>
      <c r="X72" s="15"/>
    </row>
    <row r="73" ht="15.75" customHeight="1">
      <c r="A73" s="15"/>
      <c r="B73" s="210">
        <v>9.0</v>
      </c>
      <c r="C73" s="204" t="str">
        <f>IF('INPUT DATA'!Q19="","",'INPUT DATA'!Q19)</f>
        <v/>
      </c>
      <c r="D73" s="205"/>
      <c r="E73" s="206"/>
      <c r="F73" s="211"/>
      <c r="G73" s="212"/>
      <c r="H73" s="212"/>
      <c r="I73" s="212"/>
      <c r="J73" s="212"/>
      <c r="K73" s="212"/>
      <c r="L73" s="212"/>
      <c r="M73" s="212"/>
      <c r="N73" s="212"/>
      <c r="O73" s="212"/>
      <c r="P73" s="213"/>
      <c r="Q73" s="15"/>
      <c r="R73" s="15"/>
      <c r="S73" s="15"/>
      <c r="T73" s="15"/>
      <c r="U73" s="15"/>
      <c r="V73" s="15"/>
      <c r="W73" s="15"/>
      <c r="X73" s="15"/>
    </row>
    <row r="74" ht="15.75" customHeight="1">
      <c r="A74" s="15"/>
      <c r="B74" s="210">
        <v>10.0</v>
      </c>
      <c r="C74" s="204" t="str">
        <f>IF('INPUT DATA'!Q20="","",'INPUT DATA'!Q20)</f>
        <v/>
      </c>
      <c r="D74" s="205"/>
      <c r="E74" s="206"/>
      <c r="F74" s="211"/>
      <c r="G74" s="212"/>
      <c r="H74" s="212"/>
      <c r="I74" s="212"/>
      <c r="J74" s="212"/>
      <c r="K74" s="212"/>
      <c r="L74" s="212"/>
      <c r="M74" s="212"/>
      <c r="N74" s="212"/>
      <c r="O74" s="212"/>
      <c r="P74" s="213"/>
      <c r="Q74" s="15"/>
      <c r="R74" s="15"/>
      <c r="S74" s="15"/>
      <c r="T74" s="15"/>
      <c r="U74" s="15"/>
      <c r="V74" s="15"/>
      <c r="W74" s="15"/>
      <c r="X74" s="15"/>
    </row>
    <row r="75" ht="15.75" customHeight="1">
      <c r="A75" s="15"/>
      <c r="B75" s="210">
        <v>11.0</v>
      </c>
      <c r="C75" s="204" t="str">
        <f>IF('INPUT DATA'!Q21="","",'INPUT DATA'!Q21)</f>
        <v/>
      </c>
      <c r="D75" s="205"/>
      <c r="E75" s="206"/>
      <c r="F75" s="211"/>
      <c r="G75" s="212"/>
      <c r="H75" s="212"/>
      <c r="I75" s="212"/>
      <c r="J75" s="212"/>
      <c r="K75" s="212"/>
      <c r="L75" s="212"/>
      <c r="M75" s="212"/>
      <c r="N75" s="212"/>
      <c r="O75" s="212"/>
      <c r="P75" s="213"/>
      <c r="Q75" s="15"/>
      <c r="R75" s="15"/>
      <c r="S75" s="15"/>
      <c r="T75" s="15"/>
      <c r="U75" s="15"/>
      <c r="V75" s="15"/>
      <c r="W75" s="15"/>
      <c r="X75" s="15"/>
    </row>
    <row r="76" ht="15.75" customHeight="1">
      <c r="A76" s="15"/>
      <c r="B76" s="210">
        <v>12.0</v>
      </c>
      <c r="C76" s="204" t="str">
        <f>IF('INPUT DATA'!Q22="","",'INPUT DATA'!Q22)</f>
        <v/>
      </c>
      <c r="D76" s="205"/>
      <c r="E76" s="206"/>
      <c r="F76" s="211"/>
      <c r="G76" s="212"/>
      <c r="H76" s="212"/>
      <c r="I76" s="212"/>
      <c r="J76" s="212"/>
      <c r="K76" s="212"/>
      <c r="L76" s="212"/>
      <c r="M76" s="212"/>
      <c r="N76" s="212"/>
      <c r="O76" s="212"/>
      <c r="P76" s="213"/>
      <c r="Q76" s="15"/>
      <c r="R76" s="15"/>
      <c r="S76" s="15"/>
      <c r="T76" s="15"/>
      <c r="U76" s="15"/>
      <c r="V76" s="15"/>
      <c r="W76" s="15"/>
      <c r="X76" s="15"/>
    </row>
    <row r="77" ht="15.75" customHeight="1">
      <c r="A77" s="15"/>
      <c r="B77" s="210">
        <v>13.0</v>
      </c>
      <c r="C77" s="204" t="str">
        <f>IF('INPUT DATA'!Q23="","",'INPUT DATA'!Q23)</f>
        <v/>
      </c>
      <c r="D77" s="205"/>
      <c r="E77" s="206"/>
      <c r="F77" s="211"/>
      <c r="G77" s="212"/>
      <c r="H77" s="212"/>
      <c r="I77" s="212"/>
      <c r="J77" s="212"/>
      <c r="K77" s="212"/>
      <c r="L77" s="212"/>
      <c r="M77" s="212"/>
      <c r="N77" s="212"/>
      <c r="O77" s="212"/>
      <c r="P77" s="213"/>
      <c r="Q77" s="15"/>
      <c r="R77" s="15"/>
      <c r="S77" s="15"/>
      <c r="T77" s="15"/>
      <c r="U77" s="15"/>
      <c r="V77" s="15"/>
      <c r="W77" s="15"/>
      <c r="X77" s="15"/>
    </row>
    <row r="78" ht="15.75" customHeight="1">
      <c r="A78" s="15"/>
      <c r="B78" s="210">
        <v>14.0</v>
      </c>
      <c r="C78" s="204" t="str">
        <f>IF('INPUT DATA'!Q24="","",'INPUT DATA'!Q24)</f>
        <v/>
      </c>
      <c r="D78" s="205"/>
      <c r="E78" s="206"/>
      <c r="F78" s="211"/>
      <c r="G78" s="212"/>
      <c r="H78" s="212"/>
      <c r="I78" s="212"/>
      <c r="J78" s="212"/>
      <c r="K78" s="212"/>
      <c r="L78" s="212"/>
      <c r="M78" s="212"/>
      <c r="N78" s="212"/>
      <c r="O78" s="212"/>
      <c r="P78" s="213"/>
      <c r="Q78" s="15"/>
      <c r="R78" s="15"/>
      <c r="S78" s="15"/>
      <c r="T78" s="15"/>
      <c r="U78" s="15"/>
      <c r="V78" s="15"/>
      <c r="W78" s="15"/>
      <c r="X78" s="15"/>
    </row>
    <row r="79" ht="15.75" customHeight="1">
      <c r="A79" s="15"/>
      <c r="B79" s="210">
        <v>15.0</v>
      </c>
      <c r="C79" s="204" t="str">
        <f>IF('INPUT DATA'!Q25="","",'INPUT DATA'!Q25)</f>
        <v/>
      </c>
      <c r="D79" s="205"/>
      <c r="E79" s="206"/>
      <c r="F79" s="211"/>
      <c r="G79" s="212"/>
      <c r="H79" s="212"/>
      <c r="I79" s="212"/>
      <c r="J79" s="212"/>
      <c r="K79" s="212"/>
      <c r="L79" s="212"/>
      <c r="M79" s="212"/>
      <c r="N79" s="212"/>
      <c r="O79" s="212"/>
      <c r="P79" s="213"/>
      <c r="Q79" s="15"/>
      <c r="R79" s="15"/>
      <c r="S79" s="15"/>
      <c r="T79" s="15"/>
      <c r="U79" s="15"/>
      <c r="V79" s="15"/>
      <c r="W79" s="15"/>
      <c r="X79" s="15"/>
    </row>
    <row r="80" ht="15.75" customHeight="1">
      <c r="A80" s="15"/>
      <c r="B80" s="210">
        <v>16.0</v>
      </c>
      <c r="C80" s="204" t="str">
        <f>IF('INPUT DATA'!Q26="","",'INPUT DATA'!Q26)</f>
        <v/>
      </c>
      <c r="D80" s="205"/>
      <c r="E80" s="206"/>
      <c r="F80" s="211"/>
      <c r="G80" s="212"/>
      <c r="H80" s="212"/>
      <c r="I80" s="212"/>
      <c r="J80" s="212"/>
      <c r="K80" s="212"/>
      <c r="L80" s="212"/>
      <c r="M80" s="212"/>
      <c r="N80" s="212"/>
      <c r="O80" s="212"/>
      <c r="P80" s="213"/>
      <c r="Q80" s="15"/>
      <c r="R80" s="15"/>
      <c r="S80" s="15"/>
      <c r="T80" s="15"/>
      <c r="U80" s="15"/>
      <c r="V80" s="15"/>
      <c r="W80" s="15"/>
      <c r="X80" s="15"/>
    </row>
    <row r="81" ht="15.75" customHeight="1">
      <c r="A81" s="15"/>
      <c r="B81" s="210">
        <v>17.0</v>
      </c>
      <c r="C81" s="204" t="str">
        <f>IF('INPUT DATA'!Q27="","",'INPUT DATA'!Q27)</f>
        <v/>
      </c>
      <c r="D81" s="205"/>
      <c r="E81" s="206"/>
      <c r="F81" s="211"/>
      <c r="G81" s="212"/>
      <c r="H81" s="212"/>
      <c r="I81" s="212"/>
      <c r="J81" s="212"/>
      <c r="K81" s="212"/>
      <c r="L81" s="212"/>
      <c r="M81" s="212"/>
      <c r="N81" s="212"/>
      <c r="O81" s="212"/>
      <c r="P81" s="213"/>
      <c r="Q81" s="15"/>
      <c r="R81" s="15"/>
      <c r="S81" s="15"/>
      <c r="T81" s="15"/>
      <c r="U81" s="15"/>
      <c r="V81" s="15"/>
      <c r="W81" s="15"/>
      <c r="X81" s="15"/>
    </row>
    <row r="82" ht="15.75" customHeight="1">
      <c r="A82" s="15"/>
      <c r="B82" s="210">
        <v>18.0</v>
      </c>
      <c r="C82" s="204" t="str">
        <f>IF('INPUT DATA'!Q28="","",'INPUT DATA'!Q28)</f>
        <v/>
      </c>
      <c r="D82" s="205"/>
      <c r="E82" s="206"/>
      <c r="F82" s="211"/>
      <c r="G82" s="212"/>
      <c r="H82" s="212"/>
      <c r="I82" s="212"/>
      <c r="J82" s="212"/>
      <c r="K82" s="212"/>
      <c r="L82" s="212"/>
      <c r="M82" s="212"/>
      <c r="N82" s="212"/>
      <c r="O82" s="212"/>
      <c r="P82" s="213"/>
      <c r="Q82" s="15"/>
      <c r="R82" s="15"/>
      <c r="S82" s="15"/>
      <c r="T82" s="15"/>
      <c r="U82" s="15"/>
      <c r="V82" s="15"/>
      <c r="W82" s="15"/>
      <c r="X82" s="15"/>
    </row>
    <row r="83" ht="15.75" customHeight="1">
      <c r="A83" s="15"/>
      <c r="B83" s="210">
        <v>19.0</v>
      </c>
      <c r="C83" s="204" t="str">
        <f>IF('INPUT DATA'!Q29="","",'INPUT DATA'!Q29)</f>
        <v/>
      </c>
      <c r="D83" s="205"/>
      <c r="E83" s="206"/>
      <c r="F83" s="211"/>
      <c r="G83" s="212"/>
      <c r="H83" s="212"/>
      <c r="I83" s="212"/>
      <c r="J83" s="212"/>
      <c r="K83" s="212"/>
      <c r="L83" s="212"/>
      <c r="M83" s="212"/>
      <c r="N83" s="212"/>
      <c r="O83" s="212"/>
      <c r="P83" s="213"/>
      <c r="Q83" s="15"/>
      <c r="R83" s="15"/>
      <c r="S83" s="15"/>
      <c r="T83" s="15"/>
      <c r="U83" s="15"/>
      <c r="V83" s="15"/>
      <c r="W83" s="15"/>
      <c r="X83" s="15"/>
    </row>
    <row r="84" ht="15.75" customHeight="1">
      <c r="A84" s="15"/>
      <c r="B84" s="231">
        <v>20.0</v>
      </c>
      <c r="C84" s="204" t="str">
        <f>IF('INPUT DATA'!Q30="","",'INPUT DATA'!Q30)</f>
        <v/>
      </c>
      <c r="D84" s="205"/>
      <c r="E84" s="206"/>
      <c r="F84" s="211"/>
      <c r="G84" s="212"/>
      <c r="H84" s="212"/>
      <c r="I84" s="212"/>
      <c r="J84" s="212"/>
      <c r="K84" s="212"/>
      <c r="L84" s="212"/>
      <c r="M84" s="212"/>
      <c r="N84" s="212"/>
      <c r="O84" s="212"/>
      <c r="P84" s="213"/>
      <c r="Q84" s="15"/>
      <c r="R84" s="15"/>
      <c r="S84" s="15"/>
      <c r="T84" s="15"/>
      <c r="U84" s="15"/>
      <c r="V84" s="15"/>
      <c r="W84" s="15"/>
      <c r="X84" s="15"/>
    </row>
    <row r="85" ht="15.75" customHeight="1">
      <c r="A85" s="15"/>
      <c r="B85" s="231">
        <v>21.0</v>
      </c>
      <c r="C85" s="204" t="str">
        <f>IF('INPUT DATA'!Q31="","",'INPUT DATA'!Q31)</f>
        <v/>
      </c>
      <c r="D85" s="205"/>
      <c r="E85" s="206"/>
      <c r="F85" s="211"/>
      <c r="G85" s="212"/>
      <c r="H85" s="212"/>
      <c r="I85" s="212"/>
      <c r="J85" s="212"/>
      <c r="K85" s="212"/>
      <c r="L85" s="212"/>
      <c r="M85" s="212"/>
      <c r="N85" s="212"/>
      <c r="O85" s="212"/>
      <c r="P85" s="213"/>
      <c r="Q85" s="15"/>
      <c r="R85" s="15"/>
      <c r="S85" s="15"/>
      <c r="T85" s="15"/>
      <c r="U85" s="15"/>
      <c r="V85" s="15"/>
      <c r="W85" s="15"/>
      <c r="X85" s="15"/>
    </row>
    <row r="86" ht="15.75" customHeight="1">
      <c r="A86" s="15"/>
      <c r="B86" s="231">
        <v>22.0</v>
      </c>
      <c r="C86" s="204" t="str">
        <f>IF('INPUT DATA'!Q32="","",'INPUT DATA'!Q32)</f>
        <v/>
      </c>
      <c r="D86" s="205"/>
      <c r="E86" s="206"/>
      <c r="F86" s="211"/>
      <c r="G86" s="212"/>
      <c r="H86" s="212"/>
      <c r="I86" s="212"/>
      <c r="J86" s="212"/>
      <c r="K86" s="212"/>
      <c r="L86" s="212"/>
      <c r="M86" s="212"/>
      <c r="N86" s="212"/>
      <c r="O86" s="212"/>
      <c r="P86" s="213"/>
      <c r="Q86" s="15"/>
      <c r="R86" s="15"/>
      <c r="S86" s="15"/>
      <c r="T86" s="15"/>
      <c r="U86" s="15"/>
      <c r="V86" s="15"/>
      <c r="W86" s="15"/>
      <c r="X86" s="15"/>
    </row>
    <row r="87" ht="15.75" customHeight="1">
      <c r="A87" s="15"/>
      <c r="B87" s="231">
        <v>23.0</v>
      </c>
      <c r="C87" s="204" t="str">
        <f>IF('INPUT DATA'!Q33="","",'INPUT DATA'!Q33)</f>
        <v/>
      </c>
      <c r="D87" s="205"/>
      <c r="E87" s="206"/>
      <c r="F87" s="211"/>
      <c r="G87" s="212"/>
      <c r="H87" s="212"/>
      <c r="I87" s="212"/>
      <c r="J87" s="212"/>
      <c r="K87" s="212"/>
      <c r="L87" s="212"/>
      <c r="M87" s="212"/>
      <c r="N87" s="212"/>
      <c r="O87" s="212"/>
      <c r="P87" s="213"/>
      <c r="Q87" s="15"/>
      <c r="R87" s="15"/>
      <c r="S87" s="15"/>
      <c r="T87" s="15"/>
      <c r="U87" s="15"/>
      <c r="V87" s="15"/>
      <c r="W87" s="15"/>
      <c r="X87" s="15"/>
    </row>
    <row r="88" ht="15.75" customHeight="1">
      <c r="A88" s="15"/>
      <c r="B88" s="231">
        <v>24.0</v>
      </c>
      <c r="C88" s="204" t="str">
        <f>IF('INPUT DATA'!Q34="","",'INPUT DATA'!Q34)</f>
        <v/>
      </c>
      <c r="D88" s="205"/>
      <c r="E88" s="206"/>
      <c r="F88" s="211"/>
      <c r="G88" s="212"/>
      <c r="H88" s="212"/>
      <c r="I88" s="212"/>
      <c r="J88" s="212"/>
      <c r="K88" s="212"/>
      <c r="L88" s="212"/>
      <c r="M88" s="212"/>
      <c r="N88" s="212"/>
      <c r="O88" s="212"/>
      <c r="P88" s="213"/>
      <c r="Q88" s="15"/>
      <c r="R88" s="15"/>
      <c r="S88" s="15"/>
      <c r="T88" s="15"/>
      <c r="U88" s="15"/>
      <c r="V88" s="15"/>
      <c r="W88" s="15"/>
      <c r="X88" s="15"/>
    </row>
    <row r="89" ht="15.75" customHeight="1">
      <c r="A89" s="15"/>
      <c r="B89" s="231">
        <v>25.0</v>
      </c>
      <c r="C89" s="204" t="str">
        <f>IF('INPUT DATA'!Q35="","",'INPUT DATA'!Q35)</f>
        <v/>
      </c>
      <c r="D89" s="205"/>
      <c r="E89" s="206"/>
      <c r="F89" s="211"/>
      <c r="G89" s="212"/>
      <c r="H89" s="212"/>
      <c r="I89" s="212"/>
      <c r="J89" s="212"/>
      <c r="K89" s="212"/>
      <c r="L89" s="212"/>
      <c r="M89" s="212"/>
      <c r="N89" s="212"/>
      <c r="O89" s="212"/>
      <c r="P89" s="213"/>
      <c r="Q89" s="15"/>
      <c r="R89" s="15"/>
      <c r="S89" s="15"/>
      <c r="T89" s="15"/>
      <c r="U89" s="15"/>
      <c r="V89" s="15"/>
      <c r="W89" s="15"/>
      <c r="X89" s="15"/>
    </row>
    <row r="90" ht="15.75" customHeight="1">
      <c r="A90" s="15"/>
      <c r="B90" s="231">
        <v>26.0</v>
      </c>
      <c r="C90" s="204" t="str">
        <f>IF('INPUT DATA'!Q36="","",'INPUT DATA'!Q36)</f>
        <v/>
      </c>
      <c r="D90" s="205"/>
      <c r="E90" s="206"/>
      <c r="F90" s="211"/>
      <c r="G90" s="212"/>
      <c r="H90" s="212"/>
      <c r="I90" s="212"/>
      <c r="J90" s="212"/>
      <c r="K90" s="212"/>
      <c r="L90" s="212"/>
      <c r="M90" s="212"/>
      <c r="N90" s="212"/>
      <c r="O90" s="212"/>
      <c r="P90" s="213"/>
      <c r="Q90" s="15"/>
      <c r="R90" s="15"/>
      <c r="S90" s="15"/>
      <c r="T90" s="15"/>
      <c r="U90" s="15"/>
      <c r="V90" s="15"/>
      <c r="W90" s="15"/>
      <c r="X90" s="15"/>
    </row>
    <row r="91" ht="15.75" customHeight="1">
      <c r="A91" s="15"/>
      <c r="B91" s="231">
        <v>27.0</v>
      </c>
      <c r="C91" s="204" t="str">
        <f>IF('INPUT DATA'!Q37="","",'INPUT DATA'!Q37)</f>
        <v/>
      </c>
      <c r="D91" s="205"/>
      <c r="E91" s="206"/>
      <c r="F91" s="211"/>
      <c r="G91" s="212"/>
      <c r="H91" s="212"/>
      <c r="I91" s="212"/>
      <c r="J91" s="212"/>
      <c r="K91" s="212"/>
      <c r="L91" s="212"/>
      <c r="M91" s="212"/>
      <c r="N91" s="212"/>
      <c r="O91" s="212"/>
      <c r="P91" s="213"/>
      <c r="Q91" s="15"/>
      <c r="R91" s="15"/>
      <c r="S91" s="15"/>
      <c r="T91" s="15"/>
      <c r="U91" s="15"/>
      <c r="V91" s="15"/>
      <c r="W91" s="15"/>
      <c r="X91" s="15"/>
    </row>
    <row r="92" ht="15.75" customHeight="1">
      <c r="A92" s="15"/>
      <c r="B92" s="231">
        <v>28.0</v>
      </c>
      <c r="C92" s="204" t="str">
        <f>IF('INPUT DATA'!Q38="","",'INPUT DATA'!Q38)</f>
        <v/>
      </c>
      <c r="D92" s="205"/>
      <c r="E92" s="206"/>
      <c r="F92" s="211"/>
      <c r="G92" s="212"/>
      <c r="H92" s="212"/>
      <c r="I92" s="212"/>
      <c r="J92" s="212"/>
      <c r="K92" s="212"/>
      <c r="L92" s="212"/>
      <c r="M92" s="212"/>
      <c r="N92" s="212"/>
      <c r="O92" s="212"/>
      <c r="P92" s="213"/>
      <c r="Q92" s="15"/>
      <c r="R92" s="15"/>
      <c r="S92" s="15"/>
      <c r="T92" s="15"/>
      <c r="U92" s="15"/>
      <c r="V92" s="15"/>
      <c r="W92" s="15"/>
      <c r="X92" s="15"/>
    </row>
    <row r="93" ht="15.75" customHeight="1">
      <c r="A93" s="15"/>
      <c r="B93" s="231">
        <v>29.0</v>
      </c>
      <c r="C93" s="204" t="str">
        <f>IF('INPUT DATA'!Q39="","",'INPUT DATA'!Q39)</f>
        <v/>
      </c>
      <c r="D93" s="205"/>
      <c r="E93" s="206"/>
      <c r="F93" s="211"/>
      <c r="G93" s="212"/>
      <c r="H93" s="212"/>
      <c r="I93" s="212"/>
      <c r="J93" s="212"/>
      <c r="K93" s="212"/>
      <c r="L93" s="212"/>
      <c r="M93" s="212"/>
      <c r="N93" s="212"/>
      <c r="O93" s="212"/>
      <c r="P93" s="213"/>
      <c r="Q93" s="15"/>
      <c r="R93" s="15"/>
      <c r="S93" s="15"/>
      <c r="T93" s="15"/>
      <c r="U93" s="15"/>
      <c r="V93" s="15"/>
      <c r="W93" s="15"/>
      <c r="X93" s="15"/>
    </row>
    <row r="94" ht="15.75" customHeight="1">
      <c r="A94" s="15"/>
      <c r="B94" s="231">
        <v>30.0</v>
      </c>
      <c r="C94" s="204" t="str">
        <f>IF('INPUT DATA'!Q40="","",'INPUT DATA'!Q40)</f>
        <v/>
      </c>
      <c r="D94" s="205"/>
      <c r="E94" s="206"/>
      <c r="F94" s="211"/>
      <c r="G94" s="212"/>
      <c r="H94" s="212"/>
      <c r="I94" s="212"/>
      <c r="J94" s="212"/>
      <c r="K94" s="212"/>
      <c r="L94" s="212"/>
      <c r="M94" s="212"/>
      <c r="N94" s="212"/>
      <c r="O94" s="212"/>
      <c r="P94" s="213"/>
      <c r="Q94" s="15"/>
      <c r="R94" s="15"/>
      <c r="S94" s="15"/>
      <c r="T94" s="15"/>
      <c r="U94" s="15"/>
      <c r="V94" s="15"/>
      <c r="W94" s="15"/>
      <c r="X94" s="15"/>
    </row>
    <row r="95" ht="15.75" customHeight="1">
      <c r="A95" s="15"/>
      <c r="B95" s="231">
        <v>31.0</v>
      </c>
      <c r="C95" s="204" t="str">
        <f>IF('INPUT DATA'!Q41="","",'INPUT DATA'!Q41)</f>
        <v/>
      </c>
      <c r="D95" s="205"/>
      <c r="E95" s="206"/>
      <c r="F95" s="211"/>
      <c r="G95" s="212"/>
      <c r="H95" s="212"/>
      <c r="I95" s="212"/>
      <c r="J95" s="212"/>
      <c r="K95" s="212"/>
      <c r="L95" s="212"/>
      <c r="M95" s="212"/>
      <c r="N95" s="212"/>
      <c r="O95" s="212"/>
      <c r="P95" s="213"/>
      <c r="Q95" s="15"/>
      <c r="R95" s="15"/>
      <c r="S95" s="15"/>
      <c r="T95" s="15"/>
      <c r="U95" s="15"/>
      <c r="V95" s="15"/>
      <c r="W95" s="15"/>
      <c r="X95" s="15"/>
    </row>
    <row r="96" ht="15.75" customHeight="1">
      <c r="A96" s="15"/>
      <c r="B96" s="231">
        <v>32.0</v>
      </c>
      <c r="C96" s="204" t="str">
        <f>IF('INPUT DATA'!Q42="","",'INPUT DATA'!Q42)</f>
        <v/>
      </c>
      <c r="D96" s="205"/>
      <c r="E96" s="206"/>
      <c r="F96" s="211"/>
      <c r="G96" s="212"/>
      <c r="H96" s="212"/>
      <c r="I96" s="212"/>
      <c r="J96" s="212"/>
      <c r="K96" s="212"/>
      <c r="L96" s="212"/>
      <c r="M96" s="212"/>
      <c r="N96" s="212"/>
      <c r="O96" s="212"/>
      <c r="P96" s="213"/>
      <c r="Q96" s="15"/>
      <c r="R96" s="15"/>
      <c r="S96" s="15"/>
      <c r="T96" s="15"/>
      <c r="U96" s="15"/>
      <c r="V96" s="15"/>
      <c r="W96" s="15"/>
      <c r="X96" s="15"/>
    </row>
    <row r="97" ht="15.75" customHeight="1">
      <c r="A97" s="15"/>
      <c r="B97" s="231">
        <v>33.0</v>
      </c>
      <c r="C97" s="204" t="str">
        <f>IF('INPUT DATA'!Q43="","",'INPUT DATA'!Q43)</f>
        <v/>
      </c>
      <c r="D97" s="205"/>
      <c r="E97" s="206"/>
      <c r="F97" s="211"/>
      <c r="G97" s="212"/>
      <c r="H97" s="212"/>
      <c r="I97" s="212"/>
      <c r="J97" s="212"/>
      <c r="K97" s="212"/>
      <c r="L97" s="212"/>
      <c r="M97" s="212"/>
      <c r="N97" s="212"/>
      <c r="O97" s="212"/>
      <c r="P97" s="213"/>
      <c r="Q97" s="15"/>
      <c r="R97" s="15"/>
      <c r="S97" s="15"/>
      <c r="T97" s="15"/>
      <c r="U97" s="15"/>
      <c r="V97" s="15"/>
      <c r="W97" s="15"/>
      <c r="X97" s="15"/>
    </row>
    <row r="98" ht="15.75" customHeight="1">
      <c r="A98" s="15"/>
      <c r="B98" s="231">
        <v>34.0</v>
      </c>
      <c r="C98" s="204" t="str">
        <f>IF('INPUT DATA'!Q44="","",'INPUT DATA'!Q44)</f>
        <v/>
      </c>
      <c r="D98" s="205"/>
      <c r="E98" s="206"/>
      <c r="F98" s="211"/>
      <c r="G98" s="212"/>
      <c r="H98" s="212"/>
      <c r="I98" s="212"/>
      <c r="J98" s="212"/>
      <c r="K98" s="212"/>
      <c r="L98" s="212"/>
      <c r="M98" s="212"/>
      <c r="N98" s="212"/>
      <c r="O98" s="212"/>
      <c r="P98" s="213"/>
      <c r="Q98" s="15"/>
      <c r="R98" s="15"/>
      <c r="S98" s="15"/>
      <c r="T98" s="15"/>
      <c r="U98" s="15"/>
      <c r="V98" s="15"/>
      <c r="W98" s="15"/>
      <c r="X98" s="15"/>
    </row>
    <row r="99" ht="15.75" customHeight="1">
      <c r="A99" s="15"/>
      <c r="B99" s="231">
        <v>35.0</v>
      </c>
      <c r="C99" s="204" t="str">
        <f>IF('INPUT DATA'!Q45="","",'INPUT DATA'!Q45)</f>
        <v/>
      </c>
      <c r="D99" s="205"/>
      <c r="E99" s="206"/>
      <c r="F99" s="211"/>
      <c r="G99" s="212"/>
      <c r="H99" s="212"/>
      <c r="I99" s="212"/>
      <c r="J99" s="212"/>
      <c r="K99" s="212"/>
      <c r="L99" s="212"/>
      <c r="M99" s="212"/>
      <c r="N99" s="212"/>
      <c r="O99" s="212"/>
      <c r="P99" s="213"/>
      <c r="Q99" s="15"/>
      <c r="R99" s="15"/>
      <c r="S99" s="15"/>
      <c r="T99" s="15"/>
      <c r="U99" s="15"/>
      <c r="V99" s="15"/>
      <c r="W99" s="15"/>
      <c r="X99" s="15"/>
    </row>
    <row r="100" ht="15.75" customHeight="1">
      <c r="A100" s="15"/>
      <c r="B100" s="231">
        <v>36.0</v>
      </c>
      <c r="C100" s="204" t="str">
        <f>IF('INPUT DATA'!Q46="","",'INPUT DATA'!Q46)</f>
        <v/>
      </c>
      <c r="D100" s="205"/>
      <c r="E100" s="206"/>
      <c r="F100" s="211"/>
      <c r="G100" s="212"/>
      <c r="H100" s="212"/>
      <c r="I100" s="212"/>
      <c r="J100" s="212"/>
      <c r="K100" s="212"/>
      <c r="L100" s="212"/>
      <c r="M100" s="212"/>
      <c r="N100" s="212"/>
      <c r="O100" s="212"/>
      <c r="P100" s="213"/>
      <c r="Q100" s="15"/>
      <c r="R100" s="15"/>
      <c r="S100" s="15"/>
      <c r="T100" s="15"/>
      <c r="U100" s="15"/>
      <c r="V100" s="15"/>
      <c r="W100" s="15"/>
      <c r="X100" s="15"/>
    </row>
    <row r="101" ht="15.75" customHeight="1">
      <c r="A101" s="15"/>
      <c r="B101" s="231">
        <v>37.0</v>
      </c>
      <c r="C101" s="204" t="str">
        <f>IF('INPUT DATA'!Q47="","",'INPUT DATA'!Q47)</f>
        <v/>
      </c>
      <c r="D101" s="205"/>
      <c r="E101" s="206"/>
      <c r="F101" s="211"/>
      <c r="G101" s="212"/>
      <c r="H101" s="212"/>
      <c r="I101" s="212"/>
      <c r="J101" s="212"/>
      <c r="K101" s="212"/>
      <c r="L101" s="212"/>
      <c r="M101" s="212"/>
      <c r="N101" s="212"/>
      <c r="O101" s="212"/>
      <c r="P101" s="213"/>
      <c r="Q101" s="15"/>
      <c r="R101" s="15"/>
      <c r="S101" s="15"/>
      <c r="T101" s="15"/>
      <c r="U101" s="15"/>
      <c r="V101" s="15"/>
      <c r="W101" s="15"/>
      <c r="X101" s="15"/>
    </row>
    <row r="102" ht="15.75" customHeight="1">
      <c r="A102" s="15"/>
      <c r="B102" s="231">
        <v>38.0</v>
      </c>
      <c r="C102" s="204" t="str">
        <f>IF('INPUT DATA'!Q48="","",'INPUT DATA'!Q48)</f>
        <v/>
      </c>
      <c r="D102" s="205"/>
      <c r="E102" s="206"/>
      <c r="F102" s="211"/>
      <c r="G102" s="212"/>
      <c r="H102" s="212"/>
      <c r="I102" s="212"/>
      <c r="J102" s="212"/>
      <c r="K102" s="212"/>
      <c r="L102" s="212"/>
      <c r="M102" s="212"/>
      <c r="N102" s="212"/>
      <c r="O102" s="212"/>
      <c r="P102" s="213"/>
      <c r="Q102" s="15"/>
      <c r="R102" s="15"/>
      <c r="S102" s="15"/>
      <c r="T102" s="15"/>
      <c r="U102" s="15"/>
      <c r="V102" s="15"/>
      <c r="W102" s="15"/>
      <c r="X102" s="15"/>
    </row>
    <row r="103" ht="15.75" customHeight="1">
      <c r="A103" s="15"/>
      <c r="B103" s="231">
        <v>39.0</v>
      </c>
      <c r="C103" s="204" t="str">
        <f>IF('INPUT DATA'!Q49="","",'INPUT DATA'!Q49)</f>
        <v/>
      </c>
      <c r="D103" s="205"/>
      <c r="E103" s="206"/>
      <c r="F103" s="211"/>
      <c r="G103" s="212"/>
      <c r="H103" s="212"/>
      <c r="I103" s="212"/>
      <c r="J103" s="212"/>
      <c r="K103" s="212"/>
      <c r="L103" s="212"/>
      <c r="M103" s="212"/>
      <c r="N103" s="212"/>
      <c r="O103" s="212"/>
      <c r="P103" s="213"/>
      <c r="Q103" s="15"/>
      <c r="R103" s="15"/>
      <c r="S103" s="15"/>
      <c r="T103" s="15"/>
      <c r="U103" s="15"/>
      <c r="V103" s="15"/>
      <c r="W103" s="15"/>
      <c r="X103" s="15"/>
    </row>
    <row r="104" ht="15.75" customHeight="1">
      <c r="A104" s="15"/>
      <c r="B104" s="231">
        <v>40.0</v>
      </c>
      <c r="C104" s="204" t="str">
        <f>IF('INPUT DATA'!Q50="","",'INPUT DATA'!Q50)</f>
        <v/>
      </c>
      <c r="D104" s="205"/>
      <c r="E104" s="206"/>
      <c r="F104" s="211"/>
      <c r="G104" s="212"/>
      <c r="H104" s="212"/>
      <c r="I104" s="212"/>
      <c r="J104" s="212"/>
      <c r="K104" s="212"/>
      <c r="L104" s="212"/>
      <c r="M104" s="212"/>
      <c r="N104" s="212"/>
      <c r="O104" s="212"/>
      <c r="P104" s="213"/>
      <c r="Q104" s="15"/>
      <c r="R104" s="15"/>
      <c r="S104" s="15"/>
      <c r="T104" s="15"/>
      <c r="U104" s="15"/>
      <c r="V104" s="15"/>
      <c r="W104" s="15"/>
      <c r="X104" s="15"/>
    </row>
    <row r="105" ht="15.75" customHeight="1">
      <c r="A105" s="15"/>
      <c r="B105" s="231">
        <v>41.0</v>
      </c>
      <c r="C105" s="204" t="str">
        <f>IF('INPUT DATA'!Q51="","",'INPUT DATA'!Q51)</f>
        <v/>
      </c>
      <c r="D105" s="205"/>
      <c r="E105" s="206"/>
      <c r="F105" s="211"/>
      <c r="G105" s="212"/>
      <c r="H105" s="212"/>
      <c r="I105" s="212"/>
      <c r="J105" s="212"/>
      <c r="K105" s="212"/>
      <c r="L105" s="212"/>
      <c r="M105" s="212"/>
      <c r="N105" s="212"/>
      <c r="O105" s="212"/>
      <c r="P105" s="213"/>
      <c r="Q105" s="15"/>
      <c r="R105" s="15"/>
      <c r="S105" s="15"/>
      <c r="T105" s="15"/>
      <c r="U105" s="15"/>
      <c r="V105" s="15"/>
      <c r="W105" s="15"/>
      <c r="X105" s="15"/>
    </row>
    <row r="106" ht="15.75" customHeight="1">
      <c r="A106" s="15"/>
      <c r="B106" s="231">
        <v>42.0</v>
      </c>
      <c r="C106" s="204" t="str">
        <f>IF('INPUT DATA'!Q52="","",'INPUT DATA'!Q52)</f>
        <v/>
      </c>
      <c r="D106" s="205"/>
      <c r="E106" s="206"/>
      <c r="F106" s="211"/>
      <c r="G106" s="212"/>
      <c r="H106" s="212"/>
      <c r="I106" s="212"/>
      <c r="J106" s="212"/>
      <c r="K106" s="212"/>
      <c r="L106" s="212"/>
      <c r="M106" s="212"/>
      <c r="N106" s="212"/>
      <c r="O106" s="212"/>
      <c r="P106" s="213"/>
      <c r="Q106" s="15"/>
      <c r="R106" s="15"/>
      <c r="S106" s="15"/>
      <c r="T106" s="15"/>
      <c r="U106" s="15"/>
      <c r="V106" s="15"/>
      <c r="W106" s="15"/>
      <c r="X106" s="15"/>
    </row>
    <row r="107" ht="15.75" customHeight="1">
      <c r="A107" s="15"/>
      <c r="B107" s="231">
        <v>43.0</v>
      </c>
      <c r="C107" s="204" t="str">
        <f>IF('INPUT DATA'!Q53="","",'INPUT DATA'!Q53)</f>
        <v/>
      </c>
      <c r="D107" s="205"/>
      <c r="E107" s="206"/>
      <c r="F107" s="211"/>
      <c r="G107" s="212"/>
      <c r="H107" s="212"/>
      <c r="I107" s="212"/>
      <c r="J107" s="212"/>
      <c r="K107" s="212"/>
      <c r="L107" s="212"/>
      <c r="M107" s="212"/>
      <c r="N107" s="212"/>
      <c r="O107" s="212"/>
      <c r="P107" s="213"/>
      <c r="Q107" s="15"/>
      <c r="R107" s="15"/>
      <c r="S107" s="15"/>
      <c r="T107" s="15"/>
      <c r="U107" s="15"/>
      <c r="V107" s="15"/>
      <c r="W107" s="15"/>
      <c r="X107" s="15"/>
    </row>
    <row r="108" ht="15.75" customHeight="1">
      <c r="A108" s="15"/>
      <c r="B108" s="231">
        <v>44.0</v>
      </c>
      <c r="C108" s="204" t="str">
        <f>IF('INPUT DATA'!Q54="","",'INPUT DATA'!Q54)</f>
        <v/>
      </c>
      <c r="D108" s="205"/>
      <c r="E108" s="206"/>
      <c r="F108" s="211"/>
      <c r="G108" s="212"/>
      <c r="H108" s="212"/>
      <c r="I108" s="212"/>
      <c r="J108" s="212"/>
      <c r="K108" s="212"/>
      <c r="L108" s="212"/>
      <c r="M108" s="212"/>
      <c r="N108" s="212"/>
      <c r="O108" s="212"/>
      <c r="P108" s="213"/>
      <c r="Q108" s="15"/>
      <c r="R108" s="15"/>
      <c r="S108" s="15"/>
      <c r="T108" s="15"/>
      <c r="U108" s="15"/>
      <c r="V108" s="15"/>
      <c r="W108" s="15"/>
      <c r="X108" s="15"/>
    </row>
    <row r="109" ht="15.75" customHeight="1">
      <c r="A109" s="15"/>
      <c r="B109" s="231">
        <v>45.0</v>
      </c>
      <c r="C109" s="204" t="str">
        <f>IF('INPUT DATA'!Q55="","",'INPUT DATA'!Q55)</f>
        <v/>
      </c>
      <c r="D109" s="205"/>
      <c r="E109" s="206"/>
      <c r="F109" s="211"/>
      <c r="G109" s="212"/>
      <c r="H109" s="212"/>
      <c r="I109" s="212"/>
      <c r="J109" s="212"/>
      <c r="K109" s="212"/>
      <c r="L109" s="212"/>
      <c r="M109" s="212"/>
      <c r="N109" s="212"/>
      <c r="O109" s="212"/>
      <c r="P109" s="213"/>
      <c r="Q109" s="15"/>
      <c r="R109" s="15"/>
      <c r="S109" s="15"/>
      <c r="T109" s="15"/>
      <c r="U109" s="15"/>
      <c r="V109" s="15"/>
      <c r="W109" s="15"/>
      <c r="X109" s="15"/>
    </row>
    <row r="110" ht="15.75" customHeight="1">
      <c r="A110" s="15"/>
      <c r="B110" s="231">
        <v>46.0</v>
      </c>
      <c r="C110" s="204" t="str">
        <f>IF('INPUT DATA'!Q56="","",'INPUT DATA'!Q56)</f>
        <v/>
      </c>
      <c r="D110" s="205"/>
      <c r="E110" s="206"/>
      <c r="F110" s="211"/>
      <c r="G110" s="212"/>
      <c r="H110" s="212"/>
      <c r="I110" s="212"/>
      <c r="J110" s="212"/>
      <c r="K110" s="212"/>
      <c r="L110" s="212"/>
      <c r="M110" s="212"/>
      <c r="N110" s="212"/>
      <c r="O110" s="212"/>
      <c r="P110" s="213"/>
      <c r="Q110" s="15"/>
      <c r="R110" s="15"/>
      <c r="S110" s="15"/>
      <c r="T110" s="15"/>
      <c r="U110" s="15"/>
      <c r="V110" s="15"/>
      <c r="W110" s="15"/>
      <c r="X110" s="15"/>
    </row>
    <row r="111" ht="15.75" customHeight="1">
      <c r="A111" s="15"/>
      <c r="B111" s="231">
        <v>47.0</v>
      </c>
      <c r="C111" s="204" t="str">
        <f>IF('INPUT DATA'!Q57="","",'INPUT DATA'!Q57)</f>
        <v/>
      </c>
      <c r="D111" s="205"/>
      <c r="E111" s="206"/>
      <c r="F111" s="211"/>
      <c r="G111" s="212"/>
      <c r="H111" s="212"/>
      <c r="I111" s="212"/>
      <c r="J111" s="212"/>
      <c r="K111" s="212"/>
      <c r="L111" s="212"/>
      <c r="M111" s="212"/>
      <c r="N111" s="212"/>
      <c r="O111" s="212"/>
      <c r="P111" s="213"/>
      <c r="Q111" s="15"/>
      <c r="R111" s="15"/>
      <c r="S111" s="15"/>
      <c r="T111" s="15"/>
      <c r="U111" s="15"/>
      <c r="V111" s="15"/>
      <c r="W111" s="15"/>
      <c r="X111" s="15"/>
    </row>
    <row r="112" ht="15.75" customHeight="1">
      <c r="A112" s="15"/>
      <c r="B112" s="231">
        <v>48.0</v>
      </c>
      <c r="C112" s="204" t="str">
        <f>IF('INPUT DATA'!Q58="","",'INPUT DATA'!Q58)</f>
        <v/>
      </c>
      <c r="D112" s="205"/>
      <c r="E112" s="206"/>
      <c r="F112" s="211"/>
      <c r="G112" s="212"/>
      <c r="H112" s="212"/>
      <c r="I112" s="212"/>
      <c r="J112" s="212"/>
      <c r="K112" s="212"/>
      <c r="L112" s="212"/>
      <c r="M112" s="212"/>
      <c r="N112" s="212"/>
      <c r="O112" s="212"/>
      <c r="P112" s="213"/>
      <c r="Q112" s="15"/>
      <c r="R112" s="15"/>
      <c r="S112" s="15"/>
      <c r="T112" s="15"/>
      <c r="U112" s="15"/>
      <c r="V112" s="15"/>
      <c r="W112" s="15"/>
      <c r="X112" s="15"/>
    </row>
    <row r="113" ht="15.75" customHeight="1">
      <c r="A113" s="15"/>
      <c r="B113" s="231">
        <v>49.0</v>
      </c>
      <c r="C113" s="204" t="str">
        <f>IF('INPUT DATA'!Q59="","",'INPUT DATA'!Q59)</f>
        <v/>
      </c>
      <c r="D113" s="205"/>
      <c r="E113" s="206"/>
      <c r="F113" s="211"/>
      <c r="G113" s="212"/>
      <c r="H113" s="212"/>
      <c r="I113" s="212"/>
      <c r="J113" s="212"/>
      <c r="K113" s="212"/>
      <c r="L113" s="212"/>
      <c r="M113" s="212"/>
      <c r="N113" s="212"/>
      <c r="O113" s="212"/>
      <c r="P113" s="213"/>
      <c r="Q113" s="15"/>
      <c r="R113" s="15"/>
      <c r="S113" s="15"/>
      <c r="T113" s="15"/>
      <c r="U113" s="15"/>
      <c r="V113" s="15"/>
      <c r="W113" s="15"/>
      <c r="X113" s="15"/>
    </row>
    <row r="114" ht="15.75" customHeight="1">
      <c r="A114" s="15"/>
      <c r="B114" s="304">
        <v>50.0</v>
      </c>
      <c r="C114" s="305" t="str">
        <f>IF('INPUT DATA'!Q60="","",'INPUT DATA'!Q60)</f>
        <v/>
      </c>
      <c r="D114" s="155"/>
      <c r="E114" s="156"/>
      <c r="F114" s="307"/>
      <c r="G114" s="308"/>
      <c r="H114" s="308"/>
      <c r="I114" s="308"/>
      <c r="J114" s="308"/>
      <c r="K114" s="308"/>
      <c r="L114" s="308"/>
      <c r="M114" s="308"/>
      <c r="N114" s="308"/>
      <c r="O114" s="308"/>
      <c r="P114" s="255"/>
      <c r="Q114" s="15"/>
      <c r="R114" s="15"/>
      <c r="S114" s="15"/>
      <c r="T114" s="15"/>
      <c r="U114" s="15"/>
      <c r="V114" s="15"/>
      <c r="W114" s="15"/>
      <c r="X114" s="15"/>
    </row>
    <row r="115" ht="15.75" customHeight="1">
      <c r="A115" s="15"/>
      <c r="B115" s="15"/>
      <c r="C115" s="13"/>
      <c r="D115" s="15"/>
      <c r="E115" s="15"/>
      <c r="F115" s="15"/>
      <c r="H115" s="15"/>
      <c r="J115" s="15"/>
      <c r="K115" s="15"/>
      <c r="L115" s="15"/>
      <c r="N115" s="15"/>
      <c r="O115" s="15"/>
      <c r="P115" s="15"/>
      <c r="Q115" s="15"/>
      <c r="R115" s="15"/>
      <c r="S115" s="15"/>
      <c r="T115" s="15"/>
      <c r="U115" s="15"/>
      <c r="V115" s="15"/>
      <c r="W115" s="15"/>
      <c r="X115" s="15"/>
    </row>
    <row r="116" ht="15.75" customHeight="1">
      <c r="A116" s="15"/>
      <c r="B116" s="311" t="s">
        <v>125</v>
      </c>
      <c r="C116" s="12"/>
      <c r="D116" s="12"/>
      <c r="E116" s="200" t="s">
        <v>126</v>
      </c>
      <c r="F116" s="200" t="s">
        <v>60</v>
      </c>
      <c r="G116" s="200" t="s">
        <v>61</v>
      </c>
      <c r="H116" s="200" t="s">
        <v>62</v>
      </c>
      <c r="I116" s="200" t="s">
        <v>63</v>
      </c>
      <c r="J116" s="200" t="s">
        <v>64</v>
      </c>
      <c r="K116" s="200" t="s">
        <v>65</v>
      </c>
      <c r="L116" s="200" t="s">
        <v>66</v>
      </c>
      <c r="M116" s="200" t="s">
        <v>67</v>
      </c>
      <c r="N116" s="200" t="s">
        <v>68</v>
      </c>
      <c r="O116" s="200" t="s">
        <v>69</v>
      </c>
      <c r="P116" s="200" t="s">
        <v>127</v>
      </c>
      <c r="Q116" s="15"/>
      <c r="R116" s="15"/>
      <c r="S116" s="15"/>
      <c r="T116" s="15"/>
      <c r="U116" s="15"/>
      <c r="V116" s="15"/>
      <c r="W116" s="15"/>
      <c r="X116" s="15"/>
    </row>
    <row r="117" ht="15.75" customHeight="1">
      <c r="A117" s="15"/>
      <c r="B117" s="85"/>
      <c r="C117" s="75"/>
      <c r="D117" s="75"/>
      <c r="E117" s="312">
        <f>SUM(F117:P117)</f>
        <v>201</v>
      </c>
      <c r="F117" s="200">
        <v>16.0</v>
      </c>
      <c r="G117" s="200">
        <v>23.0</v>
      </c>
      <c r="H117" s="200">
        <v>19.0</v>
      </c>
      <c r="I117" s="200">
        <v>22.0</v>
      </c>
      <c r="J117" s="200">
        <v>22.0</v>
      </c>
      <c r="K117" s="200">
        <v>19.0</v>
      </c>
      <c r="L117" s="200">
        <v>13.0</v>
      </c>
      <c r="M117" s="200">
        <v>20.0</v>
      </c>
      <c r="N117" s="200">
        <v>20.0</v>
      </c>
      <c r="O117" s="200">
        <v>21.0</v>
      </c>
      <c r="P117" s="313">
        <v>6.0</v>
      </c>
      <c r="Q117" s="15"/>
      <c r="R117" s="15"/>
      <c r="S117" s="15"/>
      <c r="T117" s="15"/>
      <c r="U117" s="15"/>
      <c r="V117" s="15"/>
      <c r="W117" s="15"/>
      <c r="X117" s="15"/>
    </row>
    <row r="118" ht="15.75" customHeight="1">
      <c r="A118" s="15"/>
      <c r="B118" s="15"/>
      <c r="C118" s="13"/>
      <c r="D118" s="15"/>
      <c r="E118" s="15"/>
      <c r="F118" s="15"/>
      <c r="H118" s="15"/>
      <c r="J118" s="15"/>
      <c r="K118" s="15"/>
      <c r="L118" s="15"/>
      <c r="N118" s="15"/>
      <c r="O118" s="15"/>
      <c r="P118" s="15"/>
      <c r="Q118" s="15"/>
      <c r="R118" s="15"/>
      <c r="S118" s="15"/>
      <c r="T118" s="15"/>
      <c r="U118" s="15"/>
      <c r="V118" s="15"/>
      <c r="W118" s="15"/>
      <c r="X118" s="15"/>
    </row>
    <row r="119" ht="15.75" customHeight="1">
      <c r="A119" s="15"/>
      <c r="B119" s="15"/>
      <c r="C119" s="13"/>
      <c r="D119" s="15"/>
      <c r="E119" s="15"/>
      <c r="F119" s="15"/>
      <c r="H119" s="15"/>
      <c r="J119" s="15"/>
      <c r="K119" s="15"/>
      <c r="L119" s="15"/>
      <c r="N119" s="15"/>
      <c r="O119" s="15"/>
      <c r="P119" s="15"/>
      <c r="Q119" s="15"/>
      <c r="R119" s="15"/>
      <c r="S119" s="15"/>
      <c r="T119" s="15"/>
      <c r="U119" s="15"/>
      <c r="V119" s="15"/>
      <c r="W119" s="15"/>
      <c r="X119" s="15"/>
    </row>
    <row r="120" ht="15.75" customHeight="1">
      <c r="A120" s="15"/>
      <c r="B120" s="15"/>
      <c r="C120" s="13"/>
      <c r="D120" s="15"/>
      <c r="E120" s="15"/>
      <c r="F120" s="15"/>
      <c r="H120" s="15"/>
      <c r="J120" s="15"/>
      <c r="K120" s="15"/>
      <c r="L120" s="15"/>
      <c r="N120" s="15"/>
      <c r="O120" s="15"/>
      <c r="P120" s="15"/>
      <c r="Q120" s="15"/>
      <c r="R120" s="15"/>
      <c r="S120" s="15"/>
      <c r="T120" s="15"/>
      <c r="U120" s="15"/>
      <c r="V120" s="15"/>
      <c r="W120" s="15"/>
      <c r="X120" s="15"/>
    </row>
    <row r="121" ht="15.75" customHeight="1">
      <c r="A121" s="15"/>
      <c r="B121" s="15"/>
      <c r="C121" s="13"/>
      <c r="D121" s="15"/>
      <c r="E121" s="15"/>
      <c r="F121" s="15"/>
      <c r="H121" s="15"/>
      <c r="J121" s="15"/>
      <c r="K121" s="15"/>
      <c r="L121" s="15"/>
      <c r="N121" s="15"/>
      <c r="O121" s="15"/>
      <c r="P121" s="15"/>
      <c r="Q121" s="15"/>
      <c r="R121" s="15"/>
      <c r="S121" s="15"/>
      <c r="T121" s="15"/>
      <c r="U121" s="15"/>
      <c r="V121" s="15"/>
      <c r="W121" s="15"/>
      <c r="X121" s="15"/>
    </row>
    <row r="122" ht="15.75" customHeight="1">
      <c r="A122" s="15"/>
      <c r="B122" s="15"/>
      <c r="C122" s="13"/>
      <c r="D122" s="15"/>
      <c r="E122" s="15"/>
      <c r="F122" s="15"/>
      <c r="H122" s="15"/>
      <c r="J122" s="15"/>
      <c r="K122" s="15"/>
      <c r="L122" s="15"/>
      <c r="N122" s="15"/>
      <c r="O122" s="15"/>
      <c r="P122" s="15"/>
      <c r="Q122" s="15"/>
      <c r="R122" s="15"/>
      <c r="S122" s="15"/>
      <c r="T122" s="15"/>
      <c r="U122" s="15"/>
      <c r="V122" s="15"/>
      <c r="W122" s="15"/>
      <c r="X122" s="15"/>
    </row>
    <row r="123" ht="15.75" customHeight="1">
      <c r="A123" s="15"/>
      <c r="B123" s="15"/>
      <c r="C123" s="13"/>
      <c r="D123" s="15"/>
      <c r="E123" s="15"/>
      <c r="F123" s="15"/>
      <c r="H123" s="15"/>
      <c r="J123" s="15"/>
      <c r="K123" s="15"/>
      <c r="L123" s="15"/>
      <c r="N123" s="15"/>
      <c r="O123" s="15"/>
      <c r="P123" s="15"/>
      <c r="Q123" s="15"/>
      <c r="R123" s="15"/>
      <c r="S123" s="15"/>
      <c r="T123" s="15"/>
      <c r="U123" s="15"/>
      <c r="V123" s="15"/>
      <c r="W123" s="15"/>
      <c r="X123" s="15"/>
    </row>
    <row r="124" ht="15.75" customHeight="1">
      <c r="A124" s="15"/>
      <c r="B124" s="15"/>
      <c r="C124" s="13"/>
      <c r="D124" s="15"/>
      <c r="E124" s="15"/>
      <c r="F124" s="15"/>
      <c r="H124" s="15"/>
      <c r="J124" s="15"/>
      <c r="K124" s="15"/>
      <c r="L124" s="15"/>
      <c r="N124" s="15"/>
      <c r="O124" s="15"/>
      <c r="P124" s="15"/>
      <c r="Q124" s="15"/>
      <c r="R124" s="15"/>
      <c r="S124" s="15"/>
      <c r="T124" s="15"/>
      <c r="U124" s="15"/>
      <c r="V124" s="15"/>
      <c r="W124" s="15"/>
      <c r="X124" s="15"/>
    </row>
    <row r="125" ht="15.75" customHeight="1">
      <c r="A125" s="15"/>
      <c r="B125" s="15"/>
      <c r="C125" s="13"/>
      <c r="D125" s="15"/>
      <c r="E125" s="15"/>
      <c r="F125" s="15"/>
      <c r="H125" s="15"/>
      <c r="J125" s="15"/>
      <c r="K125" s="15"/>
      <c r="L125" s="15"/>
      <c r="N125" s="15"/>
      <c r="O125" s="15"/>
      <c r="P125" s="15"/>
      <c r="Q125" s="15"/>
      <c r="R125" s="15"/>
      <c r="S125" s="15"/>
      <c r="T125" s="15"/>
      <c r="U125" s="15"/>
      <c r="V125" s="15"/>
      <c r="W125" s="15"/>
      <c r="X125" s="15"/>
    </row>
    <row r="126" ht="15.75" customHeight="1">
      <c r="A126" s="15"/>
      <c r="B126" s="15"/>
      <c r="C126" s="13"/>
      <c r="D126" s="15"/>
      <c r="E126" s="15"/>
      <c r="F126" s="15"/>
      <c r="H126" s="15"/>
      <c r="J126" s="15"/>
      <c r="K126" s="15"/>
      <c r="L126" s="15"/>
      <c r="N126" s="15"/>
      <c r="O126" s="15"/>
      <c r="P126" s="15"/>
      <c r="Q126" s="15"/>
      <c r="R126" s="15"/>
      <c r="S126" s="15"/>
      <c r="T126" s="15"/>
      <c r="U126" s="15"/>
      <c r="V126" s="15"/>
      <c r="W126" s="15"/>
      <c r="X126" s="15"/>
    </row>
    <row r="127" ht="15.75" customHeight="1">
      <c r="A127" s="15"/>
      <c r="B127" s="15"/>
      <c r="C127" s="13"/>
      <c r="D127" s="15"/>
      <c r="E127" s="15"/>
      <c r="F127" s="15"/>
      <c r="H127" s="15"/>
      <c r="J127" s="15"/>
      <c r="K127" s="15"/>
      <c r="L127" s="15"/>
      <c r="N127" s="15"/>
      <c r="O127" s="15"/>
      <c r="P127" s="15"/>
      <c r="Q127" s="15"/>
      <c r="R127" s="15"/>
      <c r="S127" s="15"/>
      <c r="T127" s="15"/>
      <c r="U127" s="15"/>
      <c r="V127" s="15"/>
      <c r="W127" s="15"/>
      <c r="X127" s="15"/>
    </row>
    <row r="128" ht="15.75" customHeight="1">
      <c r="A128" s="15"/>
      <c r="B128" s="15"/>
      <c r="C128" s="13"/>
      <c r="D128" s="15"/>
      <c r="E128" s="15"/>
      <c r="F128" s="15"/>
      <c r="H128" s="15"/>
      <c r="J128" s="15"/>
      <c r="K128" s="15"/>
      <c r="L128" s="15"/>
      <c r="N128" s="15"/>
      <c r="O128" s="15"/>
      <c r="P128" s="15"/>
      <c r="Q128" s="15"/>
      <c r="R128" s="15"/>
      <c r="S128" s="15"/>
      <c r="T128" s="15"/>
      <c r="U128" s="15"/>
      <c r="V128" s="15"/>
      <c r="W128" s="15"/>
      <c r="X128" s="15"/>
    </row>
    <row r="129" ht="15.75" customHeight="1">
      <c r="A129" s="15"/>
      <c r="B129" s="15"/>
      <c r="C129" s="13"/>
      <c r="D129" s="15"/>
      <c r="E129" s="15"/>
      <c r="F129" s="15"/>
      <c r="H129" s="15"/>
      <c r="J129" s="15"/>
      <c r="K129" s="15"/>
      <c r="L129" s="15"/>
      <c r="N129" s="15"/>
      <c r="O129" s="15"/>
      <c r="P129" s="15"/>
      <c r="Q129" s="15"/>
      <c r="R129" s="15"/>
      <c r="S129" s="15"/>
      <c r="T129" s="15"/>
      <c r="U129" s="15"/>
      <c r="V129" s="15"/>
      <c r="W129" s="15"/>
      <c r="X129" s="15"/>
    </row>
    <row r="130" ht="15.75" customHeight="1">
      <c r="A130" s="15"/>
      <c r="B130" s="15"/>
      <c r="C130" s="13"/>
      <c r="D130" s="15"/>
      <c r="E130" s="15"/>
      <c r="F130" s="15"/>
      <c r="H130" s="15"/>
      <c r="J130" s="15"/>
      <c r="K130" s="15"/>
      <c r="L130" s="15"/>
      <c r="N130" s="15"/>
      <c r="O130" s="15"/>
      <c r="P130" s="15"/>
      <c r="Q130" s="15"/>
      <c r="R130" s="15"/>
      <c r="S130" s="15"/>
      <c r="T130" s="15"/>
      <c r="U130" s="15"/>
      <c r="V130" s="15"/>
      <c r="W130" s="15"/>
      <c r="X130" s="15"/>
    </row>
    <row r="131" ht="15.75" customHeight="1">
      <c r="A131" s="15"/>
      <c r="B131" s="15"/>
      <c r="C131" s="13"/>
      <c r="D131" s="15"/>
      <c r="E131" s="15"/>
      <c r="F131" s="15"/>
      <c r="H131" s="15"/>
      <c r="J131" s="15"/>
      <c r="K131" s="15"/>
      <c r="L131" s="15"/>
      <c r="N131" s="15"/>
      <c r="O131" s="15"/>
      <c r="P131" s="15"/>
      <c r="Q131" s="15"/>
      <c r="R131" s="15"/>
      <c r="S131" s="15"/>
      <c r="T131" s="15"/>
      <c r="U131" s="15"/>
      <c r="V131" s="15"/>
      <c r="W131" s="15"/>
      <c r="X131" s="15"/>
    </row>
    <row r="132" ht="15.75" customHeight="1">
      <c r="A132" s="15"/>
      <c r="B132" s="15"/>
      <c r="C132" s="13"/>
      <c r="D132" s="15"/>
      <c r="E132" s="15"/>
      <c r="F132" s="15"/>
      <c r="H132" s="15"/>
      <c r="J132" s="15"/>
      <c r="K132" s="15"/>
      <c r="L132" s="15"/>
      <c r="N132" s="15"/>
      <c r="O132" s="15"/>
      <c r="P132" s="15"/>
      <c r="Q132" s="15"/>
      <c r="R132" s="15"/>
      <c r="S132" s="15"/>
      <c r="T132" s="15"/>
      <c r="U132" s="15"/>
      <c r="V132" s="15"/>
      <c r="W132" s="15"/>
      <c r="X132" s="15"/>
    </row>
    <row r="133" ht="15.75" customHeight="1">
      <c r="A133" s="15"/>
      <c r="B133" s="15"/>
      <c r="C133" s="13"/>
      <c r="D133" s="15"/>
      <c r="E133" s="15"/>
      <c r="F133" s="15"/>
      <c r="H133" s="15"/>
      <c r="J133" s="15"/>
      <c r="K133" s="15"/>
      <c r="L133" s="15"/>
      <c r="N133" s="15"/>
      <c r="O133" s="15"/>
      <c r="P133" s="15"/>
      <c r="Q133" s="15"/>
      <c r="R133" s="15"/>
      <c r="S133" s="15"/>
      <c r="T133" s="15"/>
      <c r="U133" s="15"/>
      <c r="V133" s="15"/>
      <c r="W133" s="15"/>
      <c r="X133" s="15"/>
    </row>
    <row r="134" ht="15.75" customHeight="1">
      <c r="A134" s="15"/>
      <c r="B134" s="15"/>
      <c r="C134" s="13"/>
      <c r="D134" s="15"/>
      <c r="E134" s="15"/>
      <c r="F134" s="15"/>
      <c r="H134" s="15"/>
      <c r="J134" s="15"/>
      <c r="K134" s="15"/>
      <c r="L134" s="15"/>
      <c r="N134" s="15"/>
      <c r="O134" s="15"/>
      <c r="P134" s="15"/>
      <c r="Q134" s="15"/>
      <c r="R134" s="15"/>
      <c r="S134" s="15"/>
      <c r="T134" s="15"/>
      <c r="U134" s="15"/>
      <c r="V134" s="15"/>
      <c r="W134" s="15"/>
      <c r="X134" s="15"/>
    </row>
    <row r="135" ht="15.75" customHeight="1">
      <c r="A135" s="15"/>
      <c r="B135" s="15"/>
      <c r="C135" s="13"/>
      <c r="D135" s="15"/>
      <c r="E135" s="15"/>
      <c r="F135" s="15"/>
      <c r="H135" s="15"/>
      <c r="I135" s="15"/>
      <c r="J135" s="15"/>
      <c r="K135" s="15"/>
      <c r="L135" s="15"/>
      <c r="N135" s="15"/>
      <c r="O135" s="15"/>
      <c r="P135" s="15"/>
      <c r="Q135" s="15"/>
      <c r="R135" s="15"/>
      <c r="S135" s="15"/>
      <c r="T135" s="15"/>
      <c r="U135" s="15"/>
      <c r="V135" s="15"/>
      <c r="W135" s="15"/>
      <c r="X135" s="15"/>
    </row>
    <row r="136" ht="15.75" customHeight="1">
      <c r="A136" s="15"/>
      <c r="B136" s="15"/>
      <c r="C136" s="13"/>
      <c r="D136" s="15"/>
      <c r="E136" s="15"/>
      <c r="F136" s="15"/>
      <c r="H136" s="15"/>
      <c r="I136" s="15"/>
      <c r="J136" s="15"/>
      <c r="K136" s="15"/>
      <c r="L136" s="15"/>
      <c r="N136" s="15"/>
      <c r="O136" s="15"/>
      <c r="P136" s="15"/>
      <c r="Q136" s="15"/>
      <c r="R136" s="15"/>
      <c r="S136" s="15"/>
      <c r="T136" s="15"/>
      <c r="U136" s="15"/>
      <c r="V136" s="15"/>
      <c r="W136" s="15"/>
      <c r="X136" s="15"/>
    </row>
    <row r="137" ht="15.75" customHeight="1">
      <c r="A137" s="15"/>
      <c r="B137" s="15"/>
      <c r="C137" s="13"/>
      <c r="D137" s="15"/>
      <c r="E137" s="15"/>
      <c r="F137" s="15"/>
      <c r="H137" s="15"/>
      <c r="I137" s="15"/>
      <c r="J137" s="15"/>
      <c r="K137" s="15"/>
      <c r="L137" s="15"/>
      <c r="N137" s="15"/>
      <c r="O137" s="15"/>
      <c r="P137" s="15"/>
      <c r="Q137" s="15"/>
      <c r="R137" s="15"/>
      <c r="S137" s="15"/>
      <c r="T137" s="15"/>
      <c r="U137" s="15"/>
      <c r="V137" s="15"/>
      <c r="W137" s="15"/>
      <c r="X137" s="15"/>
    </row>
    <row r="138" ht="15.75" customHeight="1">
      <c r="A138" s="15"/>
      <c r="B138" s="15"/>
      <c r="C138" s="13"/>
      <c r="D138" s="15"/>
      <c r="E138" s="15"/>
      <c r="F138" s="15"/>
      <c r="H138" s="15"/>
      <c r="I138" s="15"/>
      <c r="J138" s="15"/>
      <c r="K138" s="15"/>
      <c r="L138" s="15"/>
      <c r="N138" s="15"/>
      <c r="O138" s="15"/>
      <c r="P138" s="15"/>
      <c r="Q138" s="15"/>
      <c r="R138" s="15"/>
      <c r="S138" s="15"/>
      <c r="T138" s="15"/>
      <c r="U138" s="15"/>
      <c r="V138" s="15"/>
      <c r="W138" s="15"/>
      <c r="X138" s="15"/>
    </row>
    <row r="139" ht="15.75" customHeight="1">
      <c r="A139" s="15"/>
      <c r="B139" s="15"/>
      <c r="C139" s="13"/>
      <c r="D139" s="15"/>
      <c r="E139" s="15"/>
      <c r="F139" s="15"/>
      <c r="H139" s="15"/>
      <c r="I139" s="15"/>
      <c r="J139" s="15"/>
      <c r="K139" s="15"/>
      <c r="L139" s="15"/>
      <c r="N139" s="15"/>
      <c r="O139" s="15"/>
      <c r="P139" s="15"/>
      <c r="Q139" s="15"/>
      <c r="R139" s="15"/>
      <c r="S139" s="15"/>
      <c r="T139" s="15"/>
      <c r="U139" s="15"/>
      <c r="V139" s="15"/>
      <c r="W139" s="15"/>
      <c r="X139" s="15"/>
    </row>
    <row r="140" ht="15.75" customHeight="1">
      <c r="A140" s="15"/>
      <c r="B140" s="15"/>
      <c r="C140" s="13"/>
      <c r="D140" s="15"/>
      <c r="E140" s="15"/>
      <c r="F140" s="15"/>
      <c r="H140" s="15"/>
      <c r="I140" s="15"/>
      <c r="J140" s="15"/>
      <c r="K140" s="15"/>
      <c r="L140" s="15"/>
      <c r="N140" s="15"/>
      <c r="O140" s="15"/>
      <c r="P140" s="15"/>
      <c r="Q140" s="15"/>
      <c r="R140" s="15"/>
      <c r="S140" s="15"/>
      <c r="T140" s="15"/>
      <c r="U140" s="15"/>
      <c r="V140" s="15"/>
      <c r="W140" s="15"/>
      <c r="X140" s="15"/>
    </row>
    <row r="141" ht="15.75" customHeight="1">
      <c r="A141" s="15"/>
      <c r="B141" s="15"/>
      <c r="C141" s="13"/>
      <c r="D141" s="15"/>
      <c r="E141" s="15"/>
      <c r="F141" s="15"/>
      <c r="H141" s="15"/>
      <c r="I141" s="15"/>
      <c r="J141" s="15"/>
      <c r="K141" s="15"/>
      <c r="L141" s="15"/>
      <c r="N141" s="15"/>
      <c r="O141" s="15"/>
      <c r="P141" s="15"/>
      <c r="Q141" s="15"/>
      <c r="R141" s="15"/>
      <c r="S141" s="15"/>
      <c r="T141" s="15"/>
      <c r="U141" s="15"/>
      <c r="V141" s="15"/>
      <c r="W141" s="15"/>
      <c r="X141" s="15"/>
    </row>
    <row r="142" ht="15.75" customHeight="1">
      <c r="A142" s="15"/>
      <c r="B142" s="15"/>
      <c r="C142" s="13"/>
      <c r="D142" s="15"/>
      <c r="E142" s="15"/>
      <c r="F142" s="15"/>
      <c r="H142" s="15"/>
      <c r="I142" s="15"/>
      <c r="J142" s="15"/>
      <c r="K142" s="15"/>
      <c r="L142" s="15"/>
      <c r="N142" s="15"/>
      <c r="O142" s="15"/>
      <c r="P142" s="15"/>
      <c r="Q142" s="15"/>
      <c r="R142" s="15"/>
      <c r="S142" s="15"/>
      <c r="T142" s="15"/>
      <c r="U142" s="15"/>
      <c r="V142" s="15"/>
      <c r="W142" s="15"/>
      <c r="X142" s="15"/>
    </row>
    <row r="143" ht="15.75" customHeight="1">
      <c r="A143" s="15"/>
      <c r="B143" s="15"/>
      <c r="C143" s="13"/>
      <c r="D143" s="15"/>
      <c r="E143" s="15"/>
      <c r="F143" s="15"/>
      <c r="H143" s="15"/>
      <c r="I143" s="15"/>
      <c r="J143" s="15"/>
      <c r="K143" s="15"/>
      <c r="L143" s="15"/>
      <c r="N143" s="15"/>
      <c r="O143" s="15"/>
      <c r="P143" s="15"/>
      <c r="Q143" s="15"/>
      <c r="R143" s="15"/>
      <c r="S143" s="15"/>
      <c r="T143" s="15"/>
      <c r="U143" s="15"/>
      <c r="V143" s="15"/>
      <c r="W143" s="15"/>
      <c r="X143" s="15"/>
    </row>
    <row r="144" ht="15.75" customHeight="1">
      <c r="A144" s="15"/>
      <c r="B144" s="15"/>
      <c r="C144" s="13"/>
      <c r="D144" s="15"/>
      <c r="E144" s="15"/>
      <c r="F144" s="15"/>
      <c r="H144" s="15"/>
      <c r="I144" s="15"/>
      <c r="J144" s="15"/>
      <c r="K144" s="15"/>
      <c r="L144" s="15"/>
      <c r="M144" s="15"/>
      <c r="N144" s="15"/>
      <c r="O144" s="15"/>
      <c r="P144" s="15"/>
      <c r="Q144" s="15"/>
      <c r="R144" s="15"/>
      <c r="S144" s="15"/>
      <c r="T144" s="15"/>
      <c r="U144" s="15"/>
      <c r="V144" s="15"/>
      <c r="W144" s="15"/>
      <c r="X144" s="15"/>
    </row>
    <row r="145" ht="15.75" customHeight="1">
      <c r="A145" s="15"/>
      <c r="B145" s="15"/>
      <c r="C145" s="13"/>
      <c r="D145" s="15"/>
      <c r="E145" s="15"/>
      <c r="F145" s="15"/>
      <c r="H145" s="15"/>
      <c r="I145" s="15"/>
      <c r="J145" s="15"/>
      <c r="K145" s="15"/>
      <c r="L145" s="15"/>
      <c r="M145" s="15"/>
      <c r="N145" s="15"/>
      <c r="O145" s="15"/>
      <c r="P145" s="15"/>
      <c r="Q145" s="15"/>
      <c r="R145" s="15"/>
      <c r="S145" s="15"/>
      <c r="T145" s="15"/>
      <c r="U145" s="15"/>
      <c r="V145" s="15"/>
      <c r="W145" s="15"/>
      <c r="X145" s="15"/>
    </row>
    <row r="146" ht="15.75" customHeight="1">
      <c r="A146" s="15"/>
      <c r="B146" s="15"/>
      <c r="C146" s="13"/>
      <c r="D146" s="15"/>
      <c r="E146" s="15"/>
      <c r="F146" s="15"/>
      <c r="H146" s="15"/>
      <c r="I146" s="15"/>
      <c r="J146" s="15"/>
      <c r="K146" s="15"/>
      <c r="L146" s="15"/>
      <c r="M146" s="15"/>
      <c r="N146" s="15"/>
      <c r="O146" s="15"/>
      <c r="P146" s="15"/>
      <c r="Q146" s="15"/>
      <c r="R146" s="15"/>
      <c r="S146" s="15"/>
      <c r="T146" s="15"/>
      <c r="U146" s="15"/>
      <c r="V146" s="15"/>
      <c r="W146" s="15"/>
      <c r="X146" s="15"/>
    </row>
    <row r="147" ht="15.75" customHeight="1">
      <c r="A147" s="15"/>
      <c r="B147" s="15"/>
      <c r="C147" s="13"/>
      <c r="D147" s="15"/>
      <c r="E147" s="15"/>
      <c r="F147" s="15"/>
      <c r="G147" s="15"/>
      <c r="H147" s="15"/>
      <c r="I147" s="15"/>
      <c r="J147" s="15"/>
      <c r="K147" s="15"/>
      <c r="L147" s="15"/>
      <c r="M147" s="15"/>
      <c r="N147" s="15"/>
      <c r="O147" s="15"/>
      <c r="P147" s="15"/>
      <c r="Q147" s="15"/>
      <c r="R147" s="15"/>
      <c r="S147" s="15"/>
      <c r="T147" s="15"/>
      <c r="U147" s="15"/>
      <c r="V147" s="15"/>
      <c r="W147" s="15"/>
      <c r="X147" s="15"/>
    </row>
    <row r="148" ht="15.75" customHeight="1">
      <c r="A148" s="15"/>
      <c r="B148" s="15"/>
      <c r="C148" s="13"/>
      <c r="D148" s="15"/>
      <c r="E148" s="15"/>
      <c r="F148" s="15"/>
      <c r="G148" s="15"/>
      <c r="H148" s="15"/>
      <c r="I148" s="15"/>
      <c r="J148" s="15"/>
      <c r="K148" s="15"/>
      <c r="L148" s="15"/>
      <c r="M148" s="15"/>
      <c r="N148" s="15"/>
      <c r="O148" s="15"/>
      <c r="P148" s="15"/>
      <c r="Q148" s="15"/>
      <c r="R148" s="15"/>
      <c r="S148" s="15"/>
      <c r="T148" s="15"/>
      <c r="U148" s="15"/>
      <c r="V148" s="15"/>
      <c r="W148" s="15"/>
      <c r="X148" s="15"/>
    </row>
    <row r="149" ht="15.75" customHeight="1">
      <c r="A149" s="15"/>
      <c r="B149" s="15"/>
      <c r="C149" s="13"/>
      <c r="D149" s="15"/>
      <c r="E149" s="15"/>
      <c r="F149" s="15"/>
      <c r="G149" s="15"/>
      <c r="H149" s="15"/>
      <c r="I149" s="15"/>
      <c r="J149" s="15"/>
      <c r="K149" s="15"/>
      <c r="L149" s="15"/>
      <c r="M149" s="15"/>
      <c r="N149" s="15"/>
      <c r="O149" s="15"/>
      <c r="P149" s="15"/>
      <c r="Q149" s="15"/>
      <c r="R149" s="15"/>
      <c r="S149" s="15"/>
      <c r="T149" s="15"/>
      <c r="U149" s="15"/>
      <c r="V149" s="15"/>
      <c r="W149" s="15"/>
      <c r="X149" s="15"/>
    </row>
    <row r="150" ht="15.75" customHeight="1">
      <c r="A150" s="15"/>
      <c r="B150" s="15"/>
      <c r="C150" s="13"/>
      <c r="D150" s="15"/>
      <c r="E150" s="15"/>
      <c r="F150" s="15"/>
      <c r="G150" s="15"/>
      <c r="H150" s="15"/>
      <c r="I150" s="15"/>
      <c r="J150" s="15"/>
      <c r="K150" s="15"/>
      <c r="L150" s="15"/>
      <c r="M150" s="15"/>
      <c r="N150" s="15"/>
      <c r="O150" s="15"/>
      <c r="P150" s="15"/>
      <c r="Q150" s="15"/>
      <c r="R150" s="15"/>
      <c r="S150" s="15"/>
      <c r="T150" s="15"/>
      <c r="U150" s="15"/>
      <c r="V150" s="15"/>
      <c r="W150" s="15"/>
      <c r="X150" s="15"/>
    </row>
    <row r="151" ht="15.75" customHeight="1">
      <c r="A151" s="15"/>
      <c r="B151" s="15"/>
      <c r="C151" s="13"/>
      <c r="D151" s="15"/>
      <c r="E151" s="15"/>
      <c r="F151" s="15"/>
      <c r="G151" s="15"/>
      <c r="H151" s="15"/>
      <c r="I151" s="15"/>
      <c r="J151" s="15"/>
      <c r="K151" s="15"/>
      <c r="L151" s="15"/>
      <c r="M151" s="15"/>
      <c r="N151" s="15"/>
      <c r="O151" s="15"/>
      <c r="P151" s="15"/>
      <c r="Q151" s="15"/>
      <c r="R151" s="15"/>
      <c r="S151" s="15"/>
      <c r="T151" s="15"/>
      <c r="U151" s="15"/>
      <c r="V151" s="15"/>
      <c r="W151" s="15"/>
      <c r="X151" s="15"/>
    </row>
    <row r="152" ht="15.75" customHeight="1">
      <c r="A152" s="15"/>
      <c r="B152" s="15"/>
      <c r="C152" s="13"/>
      <c r="D152" s="15"/>
      <c r="E152" s="15"/>
      <c r="F152" s="15"/>
      <c r="G152" s="15"/>
      <c r="H152" s="15"/>
      <c r="I152" s="15"/>
      <c r="J152" s="15"/>
      <c r="K152" s="15"/>
      <c r="L152" s="15"/>
      <c r="M152" s="15"/>
      <c r="N152" s="15"/>
      <c r="O152" s="15"/>
      <c r="P152" s="15"/>
      <c r="Q152" s="15"/>
      <c r="R152" s="15"/>
      <c r="S152" s="15"/>
      <c r="T152" s="15"/>
      <c r="U152" s="15"/>
      <c r="V152" s="15"/>
      <c r="W152" s="15"/>
      <c r="X152" s="15"/>
    </row>
    <row r="153" ht="15.75" customHeight="1">
      <c r="A153" s="15"/>
      <c r="B153" s="15"/>
      <c r="C153" s="13"/>
      <c r="D153" s="15"/>
      <c r="E153" s="15"/>
      <c r="F153" s="15"/>
      <c r="G153" s="15"/>
      <c r="H153" s="15"/>
      <c r="I153" s="15"/>
      <c r="J153" s="15"/>
      <c r="K153" s="15"/>
      <c r="L153" s="15"/>
      <c r="M153" s="15"/>
      <c r="N153" s="15"/>
      <c r="O153" s="15"/>
      <c r="P153" s="15"/>
      <c r="Q153" s="15"/>
      <c r="R153" s="15"/>
      <c r="S153" s="15"/>
      <c r="T153" s="15"/>
      <c r="U153" s="15"/>
      <c r="V153" s="15"/>
      <c r="W153" s="15"/>
      <c r="X153" s="15"/>
    </row>
    <row r="154" ht="15.75" customHeight="1">
      <c r="A154" s="15"/>
      <c r="B154" s="15"/>
      <c r="C154" s="13"/>
      <c r="D154" s="15"/>
      <c r="E154" s="15"/>
      <c r="F154" s="15"/>
      <c r="G154" s="15"/>
      <c r="H154" s="15"/>
      <c r="I154" s="15"/>
      <c r="J154" s="15"/>
      <c r="K154" s="15"/>
      <c r="L154" s="15"/>
      <c r="M154" s="15"/>
      <c r="N154" s="15"/>
      <c r="O154" s="15"/>
      <c r="P154" s="15"/>
      <c r="Q154" s="15"/>
      <c r="R154" s="15"/>
      <c r="S154" s="15"/>
      <c r="T154" s="15"/>
      <c r="U154" s="15"/>
      <c r="V154" s="15"/>
      <c r="W154" s="15"/>
      <c r="X154" s="15"/>
    </row>
    <row r="155" ht="15.75" customHeight="1">
      <c r="A155" s="15"/>
      <c r="B155" s="15"/>
      <c r="C155" s="13"/>
      <c r="D155" s="15"/>
      <c r="E155" s="15"/>
      <c r="F155" s="15"/>
      <c r="G155" s="15"/>
      <c r="H155" s="15"/>
      <c r="I155" s="15"/>
      <c r="J155" s="15"/>
      <c r="K155" s="15"/>
      <c r="L155" s="15"/>
      <c r="M155" s="15"/>
      <c r="N155" s="15"/>
      <c r="O155" s="15"/>
      <c r="P155" s="15"/>
      <c r="Q155" s="15"/>
      <c r="R155" s="15"/>
      <c r="S155" s="15"/>
      <c r="T155" s="15"/>
      <c r="U155" s="15"/>
      <c r="V155" s="15"/>
      <c r="W155" s="15"/>
      <c r="X155" s="15"/>
    </row>
    <row r="156" ht="15.75" customHeight="1">
      <c r="A156" s="15"/>
      <c r="B156" s="15"/>
      <c r="C156" s="13"/>
      <c r="D156" s="15"/>
      <c r="E156" s="15"/>
      <c r="F156" s="15"/>
      <c r="G156" s="15"/>
      <c r="H156" s="15"/>
      <c r="I156" s="15"/>
      <c r="J156" s="15"/>
      <c r="K156" s="15"/>
      <c r="L156" s="15"/>
      <c r="M156" s="15"/>
      <c r="N156" s="15"/>
      <c r="O156" s="15"/>
      <c r="P156" s="15"/>
      <c r="Q156" s="15"/>
      <c r="R156" s="15"/>
      <c r="S156" s="15"/>
      <c r="T156" s="15"/>
      <c r="U156" s="15"/>
      <c r="V156" s="15"/>
      <c r="W156" s="15"/>
      <c r="X156" s="15"/>
    </row>
    <row r="157" ht="15.75" customHeight="1">
      <c r="A157" s="15"/>
      <c r="B157" s="15"/>
      <c r="C157" s="13"/>
      <c r="D157" s="15"/>
      <c r="E157" s="15"/>
      <c r="F157" s="15"/>
      <c r="G157" s="15"/>
      <c r="H157" s="15"/>
      <c r="I157" s="15"/>
      <c r="J157" s="15"/>
      <c r="K157" s="15"/>
      <c r="L157" s="15"/>
      <c r="M157" s="15"/>
      <c r="N157" s="15"/>
      <c r="O157" s="15"/>
      <c r="P157" s="15"/>
      <c r="Q157" s="15"/>
      <c r="R157" s="15"/>
      <c r="S157" s="15"/>
      <c r="T157" s="15"/>
      <c r="U157" s="15"/>
      <c r="V157" s="15"/>
      <c r="W157" s="15"/>
      <c r="X157" s="15"/>
    </row>
    <row r="158" ht="15.75" customHeight="1">
      <c r="A158" s="15"/>
      <c r="B158" s="15"/>
      <c r="C158" s="13"/>
      <c r="D158" s="15"/>
      <c r="E158" s="15"/>
      <c r="F158" s="15"/>
      <c r="G158" s="15"/>
      <c r="H158" s="15"/>
      <c r="I158" s="15"/>
      <c r="J158" s="15"/>
      <c r="K158" s="15"/>
      <c r="L158" s="15"/>
      <c r="M158" s="15"/>
      <c r="N158" s="15"/>
      <c r="O158" s="15"/>
      <c r="P158" s="15"/>
      <c r="Q158" s="15"/>
      <c r="R158" s="15"/>
      <c r="S158" s="15"/>
      <c r="T158" s="15"/>
      <c r="U158" s="15"/>
      <c r="V158" s="15"/>
      <c r="W158" s="15"/>
      <c r="X158" s="15"/>
    </row>
    <row r="159" ht="15.75" customHeight="1">
      <c r="A159" s="15"/>
      <c r="B159" s="15"/>
      <c r="C159" s="13"/>
      <c r="D159" s="15"/>
      <c r="E159" s="15"/>
      <c r="F159" s="15"/>
      <c r="G159" s="15"/>
      <c r="H159" s="15"/>
      <c r="I159" s="15"/>
      <c r="J159" s="15"/>
      <c r="K159" s="15"/>
      <c r="L159" s="15"/>
      <c r="M159" s="15"/>
      <c r="N159" s="15"/>
      <c r="O159" s="15"/>
      <c r="P159" s="15"/>
      <c r="Q159" s="15"/>
      <c r="R159" s="15"/>
      <c r="S159" s="15"/>
      <c r="T159" s="15"/>
      <c r="U159" s="15"/>
      <c r="V159" s="15"/>
      <c r="W159" s="15"/>
      <c r="X159" s="15"/>
    </row>
    <row r="160" ht="15.75" customHeight="1">
      <c r="A160" s="15"/>
      <c r="B160" s="15"/>
      <c r="C160" s="13"/>
      <c r="D160" s="15"/>
      <c r="E160" s="15"/>
      <c r="F160" s="15"/>
      <c r="G160" s="15"/>
      <c r="H160" s="15"/>
      <c r="I160" s="15"/>
      <c r="J160" s="15"/>
      <c r="K160" s="15"/>
      <c r="L160" s="15"/>
      <c r="M160" s="15"/>
      <c r="N160" s="15"/>
      <c r="O160" s="15"/>
      <c r="P160" s="15"/>
      <c r="Q160" s="15"/>
      <c r="R160" s="15"/>
      <c r="S160" s="15"/>
      <c r="T160" s="15"/>
      <c r="U160" s="15"/>
      <c r="V160" s="15"/>
      <c r="W160" s="15"/>
      <c r="X160" s="15"/>
    </row>
    <row r="161" ht="15.75" customHeight="1">
      <c r="A161" s="15"/>
      <c r="B161" s="15"/>
      <c r="C161" s="13"/>
      <c r="D161" s="15"/>
      <c r="E161" s="15"/>
      <c r="F161" s="15"/>
      <c r="G161" s="15"/>
      <c r="H161" s="15"/>
      <c r="I161" s="15"/>
      <c r="J161" s="15"/>
      <c r="K161" s="15"/>
      <c r="L161" s="15"/>
      <c r="M161" s="15"/>
      <c r="N161" s="15"/>
      <c r="O161" s="15"/>
      <c r="P161" s="15"/>
      <c r="Q161" s="15"/>
      <c r="R161" s="15"/>
      <c r="S161" s="15"/>
      <c r="T161" s="15"/>
      <c r="U161" s="15"/>
      <c r="V161" s="15"/>
      <c r="W161" s="15"/>
      <c r="X161" s="15"/>
    </row>
    <row r="162" ht="15.75" customHeight="1">
      <c r="A162" s="15"/>
      <c r="B162" s="15"/>
      <c r="C162" s="13"/>
      <c r="D162" s="15"/>
      <c r="E162" s="15"/>
      <c r="F162" s="15"/>
      <c r="G162" s="15"/>
      <c r="H162" s="15"/>
      <c r="I162" s="15"/>
      <c r="J162" s="15"/>
      <c r="K162" s="15"/>
      <c r="L162" s="15"/>
      <c r="M162" s="15"/>
      <c r="N162" s="15"/>
      <c r="O162" s="15"/>
      <c r="P162" s="15"/>
      <c r="Q162" s="15"/>
      <c r="R162" s="15"/>
      <c r="S162" s="15"/>
      <c r="T162" s="15"/>
      <c r="U162" s="15"/>
      <c r="V162" s="15"/>
      <c r="W162" s="15"/>
      <c r="X162" s="15"/>
    </row>
    <row r="163" ht="15.75" customHeight="1">
      <c r="A163" s="15"/>
      <c r="B163" s="15"/>
      <c r="C163" s="13"/>
      <c r="D163" s="15"/>
      <c r="E163" s="15"/>
      <c r="F163" s="15"/>
      <c r="G163" s="15"/>
      <c r="H163" s="15"/>
      <c r="I163" s="15"/>
      <c r="J163" s="15"/>
      <c r="K163" s="15"/>
      <c r="L163" s="15"/>
      <c r="M163" s="15"/>
      <c r="N163" s="15"/>
      <c r="O163" s="15"/>
      <c r="P163" s="15"/>
      <c r="Q163" s="15"/>
      <c r="R163" s="15"/>
      <c r="S163" s="15"/>
      <c r="T163" s="15"/>
      <c r="U163" s="15"/>
      <c r="V163" s="15"/>
      <c r="W163" s="15"/>
      <c r="X163" s="15"/>
    </row>
    <row r="164" ht="15.75" customHeight="1">
      <c r="A164" s="15"/>
      <c r="B164" s="15"/>
      <c r="C164" s="13"/>
      <c r="D164" s="15"/>
      <c r="E164" s="15"/>
      <c r="F164" s="15"/>
      <c r="G164" s="15"/>
      <c r="H164" s="15"/>
      <c r="I164" s="15"/>
      <c r="J164" s="15"/>
      <c r="K164" s="15"/>
      <c r="L164" s="15"/>
      <c r="M164" s="15"/>
      <c r="N164" s="15"/>
      <c r="O164" s="15"/>
      <c r="P164" s="15"/>
      <c r="Q164" s="15"/>
      <c r="R164" s="15"/>
      <c r="S164" s="15"/>
      <c r="T164" s="15"/>
      <c r="U164" s="15"/>
      <c r="V164" s="15"/>
      <c r="W164" s="15"/>
      <c r="X164" s="15"/>
    </row>
    <row r="165" ht="15.75" customHeight="1">
      <c r="A165" s="15"/>
      <c r="B165" s="15"/>
      <c r="C165" s="13"/>
      <c r="D165" s="15"/>
      <c r="E165" s="15"/>
      <c r="F165" s="15"/>
      <c r="G165" s="15"/>
      <c r="H165" s="15"/>
      <c r="I165" s="15"/>
      <c r="J165" s="15"/>
      <c r="K165" s="15"/>
      <c r="L165" s="15"/>
      <c r="M165" s="15"/>
      <c r="N165" s="15"/>
      <c r="O165" s="15"/>
      <c r="P165" s="15"/>
      <c r="Q165" s="15"/>
      <c r="R165" s="15"/>
      <c r="S165" s="15"/>
      <c r="T165" s="15"/>
      <c r="U165" s="15"/>
      <c r="V165" s="15"/>
      <c r="W165" s="15"/>
      <c r="X165" s="15"/>
    </row>
    <row r="166" ht="15.75" customHeight="1">
      <c r="A166" s="15"/>
      <c r="B166" s="15"/>
      <c r="C166" s="13"/>
      <c r="D166" s="15"/>
      <c r="E166" s="15"/>
      <c r="F166" s="15"/>
      <c r="G166" s="15"/>
      <c r="H166" s="15"/>
      <c r="I166" s="15"/>
      <c r="J166" s="15"/>
      <c r="K166" s="15"/>
      <c r="L166" s="15"/>
      <c r="M166" s="15"/>
      <c r="N166" s="15"/>
      <c r="O166" s="15"/>
      <c r="P166" s="15"/>
      <c r="Q166" s="15"/>
      <c r="R166" s="15"/>
      <c r="S166" s="15"/>
      <c r="T166" s="15"/>
      <c r="U166" s="15"/>
      <c r="V166" s="15"/>
      <c r="W166" s="15"/>
      <c r="X166" s="15"/>
    </row>
    <row r="167" ht="15.75" customHeight="1">
      <c r="A167" s="15"/>
      <c r="B167" s="15"/>
      <c r="C167" s="13"/>
      <c r="D167" s="15"/>
      <c r="E167" s="15"/>
      <c r="F167" s="15"/>
      <c r="G167" s="15"/>
      <c r="H167" s="15"/>
      <c r="I167" s="15"/>
      <c r="J167" s="15"/>
      <c r="K167" s="15"/>
      <c r="L167" s="15"/>
      <c r="M167" s="15"/>
      <c r="N167" s="15"/>
      <c r="O167" s="15"/>
      <c r="P167" s="15"/>
      <c r="Q167" s="15"/>
      <c r="R167" s="15"/>
      <c r="S167" s="15"/>
      <c r="T167" s="15"/>
      <c r="U167" s="15"/>
      <c r="V167" s="15"/>
      <c r="W167" s="15"/>
      <c r="X167" s="15"/>
    </row>
    <row r="168" ht="15.75" customHeight="1">
      <c r="A168" s="15"/>
      <c r="B168" s="15"/>
      <c r="C168" s="13"/>
      <c r="D168" s="15"/>
      <c r="E168" s="15"/>
      <c r="F168" s="15"/>
      <c r="G168" s="15"/>
      <c r="H168" s="15"/>
      <c r="I168" s="15"/>
      <c r="J168" s="15"/>
      <c r="K168" s="15"/>
      <c r="L168" s="15"/>
      <c r="M168" s="15"/>
      <c r="N168" s="15"/>
      <c r="O168" s="15"/>
      <c r="P168" s="15"/>
      <c r="Q168" s="15"/>
      <c r="R168" s="15"/>
      <c r="S168" s="15"/>
      <c r="T168" s="15"/>
      <c r="U168" s="15"/>
      <c r="V168" s="15"/>
      <c r="W168" s="15"/>
      <c r="X168" s="15"/>
    </row>
    <row r="169" ht="15.75" customHeight="1">
      <c r="A169" s="15"/>
      <c r="B169" s="15"/>
      <c r="C169" s="13"/>
      <c r="D169" s="15"/>
      <c r="E169" s="15"/>
      <c r="F169" s="15"/>
      <c r="G169" s="15"/>
      <c r="H169" s="15"/>
      <c r="I169" s="15"/>
      <c r="J169" s="15"/>
      <c r="K169" s="15"/>
      <c r="L169" s="15"/>
      <c r="M169" s="15"/>
      <c r="N169" s="15"/>
      <c r="O169" s="15"/>
      <c r="P169" s="15"/>
      <c r="Q169" s="15"/>
      <c r="R169" s="15"/>
      <c r="S169" s="15"/>
      <c r="T169" s="15"/>
      <c r="U169" s="15"/>
      <c r="V169" s="15"/>
      <c r="W169" s="15"/>
      <c r="X169" s="15"/>
    </row>
    <row r="170" ht="15.75" customHeight="1">
      <c r="A170" s="15"/>
      <c r="B170" s="15"/>
      <c r="C170" s="13"/>
      <c r="D170" s="15"/>
      <c r="E170" s="15"/>
      <c r="F170" s="15"/>
      <c r="G170" s="15"/>
      <c r="H170" s="15"/>
      <c r="I170" s="15"/>
      <c r="J170" s="15"/>
      <c r="K170" s="15"/>
      <c r="L170" s="15"/>
      <c r="M170" s="15"/>
      <c r="N170" s="15"/>
      <c r="O170" s="15"/>
      <c r="P170" s="15"/>
      <c r="Q170" s="15"/>
      <c r="R170" s="15"/>
      <c r="S170" s="15"/>
      <c r="T170" s="15"/>
      <c r="U170" s="15"/>
      <c r="V170" s="15"/>
      <c r="W170" s="15"/>
      <c r="X170" s="15"/>
    </row>
    <row r="171" ht="15.75" customHeight="1">
      <c r="A171" s="15"/>
      <c r="B171" s="15"/>
      <c r="C171" s="13"/>
      <c r="D171" s="15"/>
      <c r="E171" s="15"/>
      <c r="F171" s="15"/>
      <c r="G171" s="15"/>
      <c r="H171" s="15"/>
      <c r="I171" s="15"/>
      <c r="J171" s="15"/>
      <c r="K171" s="15"/>
      <c r="L171" s="15"/>
      <c r="M171" s="15"/>
      <c r="N171" s="15"/>
      <c r="O171" s="15"/>
      <c r="P171" s="15"/>
      <c r="Q171" s="15"/>
      <c r="R171" s="15"/>
      <c r="S171" s="15"/>
      <c r="T171" s="15"/>
      <c r="U171" s="15"/>
      <c r="V171" s="15"/>
      <c r="W171" s="15"/>
      <c r="X171" s="15"/>
    </row>
    <row r="172" ht="15.75" customHeight="1">
      <c r="A172" s="15"/>
      <c r="B172" s="15"/>
      <c r="C172" s="13"/>
      <c r="D172" s="15"/>
      <c r="E172" s="15"/>
      <c r="F172" s="15"/>
      <c r="G172" s="15"/>
      <c r="H172" s="15"/>
      <c r="I172" s="15"/>
      <c r="J172" s="15"/>
      <c r="K172" s="15"/>
      <c r="L172" s="15"/>
      <c r="M172" s="15"/>
      <c r="N172" s="15"/>
      <c r="O172" s="15"/>
      <c r="P172" s="15"/>
      <c r="Q172" s="15"/>
      <c r="R172" s="15"/>
      <c r="S172" s="15"/>
      <c r="T172" s="15"/>
      <c r="U172" s="15"/>
      <c r="V172" s="15"/>
      <c r="W172" s="15"/>
      <c r="X172" s="15"/>
    </row>
    <row r="173" ht="15.75" customHeight="1">
      <c r="A173" s="15"/>
      <c r="B173" s="15"/>
      <c r="C173" s="13"/>
      <c r="D173" s="15"/>
      <c r="E173" s="15"/>
      <c r="F173" s="15"/>
      <c r="G173" s="15"/>
      <c r="H173" s="15"/>
      <c r="I173" s="15"/>
      <c r="J173" s="15"/>
      <c r="K173" s="15"/>
      <c r="L173" s="15"/>
      <c r="M173" s="15"/>
      <c r="N173" s="15"/>
      <c r="O173" s="15"/>
      <c r="P173" s="15"/>
      <c r="Q173" s="15"/>
      <c r="R173" s="15"/>
      <c r="S173" s="15"/>
      <c r="T173" s="15"/>
      <c r="U173" s="15"/>
      <c r="V173" s="15"/>
      <c r="W173" s="15"/>
      <c r="X173" s="15"/>
    </row>
    <row r="174" ht="15.75" customHeight="1">
      <c r="A174" s="15"/>
      <c r="B174" s="15"/>
      <c r="C174" s="13"/>
      <c r="D174" s="15"/>
      <c r="E174" s="15"/>
      <c r="F174" s="15"/>
      <c r="G174" s="15"/>
      <c r="H174" s="15"/>
      <c r="I174" s="15"/>
      <c r="J174" s="15"/>
      <c r="K174" s="15"/>
      <c r="L174" s="15"/>
      <c r="M174" s="15"/>
      <c r="N174" s="15"/>
      <c r="O174" s="15"/>
      <c r="P174" s="15"/>
      <c r="Q174" s="15"/>
      <c r="R174" s="15"/>
      <c r="S174" s="15"/>
      <c r="T174" s="15"/>
      <c r="U174" s="15"/>
      <c r="V174" s="15"/>
      <c r="W174" s="15"/>
      <c r="X174" s="15"/>
    </row>
    <row r="175" ht="15.75" customHeight="1">
      <c r="A175" s="15"/>
      <c r="B175" s="15"/>
      <c r="C175" s="13"/>
      <c r="D175" s="15"/>
      <c r="E175" s="15"/>
      <c r="F175" s="15"/>
      <c r="G175" s="15"/>
      <c r="H175" s="15"/>
      <c r="I175" s="15"/>
      <c r="J175" s="15"/>
      <c r="K175" s="15"/>
      <c r="L175" s="15"/>
      <c r="M175" s="15"/>
      <c r="N175" s="15"/>
      <c r="O175" s="15"/>
      <c r="P175" s="15"/>
      <c r="Q175" s="15"/>
      <c r="R175" s="15"/>
      <c r="S175" s="15"/>
      <c r="T175" s="15"/>
      <c r="U175" s="15"/>
      <c r="V175" s="15"/>
      <c r="W175" s="15"/>
      <c r="X175" s="15"/>
    </row>
    <row r="176" ht="15.75" customHeight="1">
      <c r="A176" s="15"/>
      <c r="B176" s="15"/>
      <c r="C176" s="13"/>
      <c r="D176" s="15"/>
      <c r="E176" s="15"/>
      <c r="F176" s="15"/>
      <c r="G176" s="15"/>
      <c r="H176" s="15"/>
      <c r="I176" s="15"/>
      <c r="J176" s="15"/>
      <c r="K176" s="15"/>
      <c r="L176" s="15"/>
      <c r="M176" s="15"/>
      <c r="N176" s="15"/>
      <c r="O176" s="15"/>
      <c r="P176" s="15"/>
      <c r="Q176" s="15"/>
      <c r="R176" s="15"/>
      <c r="S176" s="15"/>
      <c r="T176" s="15"/>
      <c r="U176" s="15"/>
      <c r="V176" s="15"/>
      <c r="W176" s="15"/>
      <c r="X176" s="15"/>
    </row>
    <row r="177" ht="15.75" customHeight="1">
      <c r="A177" s="15"/>
      <c r="B177" s="15"/>
      <c r="C177" s="13"/>
      <c r="D177" s="15"/>
      <c r="E177" s="15"/>
      <c r="F177" s="15"/>
      <c r="G177" s="15"/>
      <c r="H177" s="15"/>
      <c r="I177" s="15"/>
      <c r="J177" s="15"/>
      <c r="K177" s="15"/>
      <c r="L177" s="15"/>
      <c r="M177" s="15"/>
      <c r="N177" s="15"/>
      <c r="O177" s="15"/>
      <c r="P177" s="15"/>
      <c r="Q177" s="15"/>
      <c r="R177" s="15"/>
      <c r="S177" s="15"/>
      <c r="T177" s="15"/>
      <c r="U177" s="15"/>
      <c r="V177" s="15"/>
      <c r="W177" s="15"/>
      <c r="X177" s="15"/>
    </row>
    <row r="178" ht="15.75" customHeight="1">
      <c r="A178" s="15"/>
      <c r="B178" s="15"/>
      <c r="C178" s="13"/>
      <c r="D178" s="15"/>
      <c r="E178" s="15"/>
      <c r="F178" s="15"/>
      <c r="G178" s="15"/>
      <c r="H178" s="15"/>
      <c r="I178" s="15"/>
      <c r="J178" s="15"/>
      <c r="K178" s="15"/>
      <c r="L178" s="15"/>
      <c r="M178" s="15"/>
      <c r="N178" s="15"/>
      <c r="O178" s="15"/>
      <c r="P178" s="15"/>
      <c r="Q178" s="15"/>
      <c r="R178" s="15"/>
      <c r="S178" s="15"/>
      <c r="T178" s="15"/>
      <c r="U178" s="15"/>
      <c r="V178" s="15"/>
      <c r="W178" s="15"/>
      <c r="X178" s="15"/>
    </row>
    <row r="179" ht="15.75" customHeight="1">
      <c r="A179" s="15"/>
      <c r="B179" s="15"/>
      <c r="C179" s="13"/>
      <c r="D179" s="15"/>
      <c r="E179" s="15"/>
      <c r="F179" s="15"/>
      <c r="G179" s="15"/>
      <c r="H179" s="15"/>
      <c r="I179" s="15"/>
      <c r="J179" s="15"/>
      <c r="K179" s="15"/>
      <c r="L179" s="15"/>
      <c r="M179" s="15"/>
      <c r="N179" s="15"/>
      <c r="O179" s="15"/>
      <c r="P179" s="15"/>
      <c r="Q179" s="15"/>
      <c r="R179" s="15"/>
      <c r="S179" s="15"/>
      <c r="T179" s="15"/>
      <c r="U179" s="15"/>
      <c r="V179" s="15"/>
      <c r="W179" s="15"/>
      <c r="X179" s="15"/>
    </row>
    <row r="180" ht="15.75" customHeight="1">
      <c r="A180" s="15"/>
      <c r="B180" s="15"/>
      <c r="C180" s="13"/>
      <c r="D180" s="15"/>
      <c r="E180" s="15"/>
      <c r="F180" s="15"/>
      <c r="G180" s="15"/>
      <c r="H180" s="15"/>
      <c r="I180" s="15"/>
      <c r="J180" s="15"/>
      <c r="K180" s="15"/>
      <c r="L180" s="15"/>
      <c r="M180" s="15"/>
      <c r="N180" s="15"/>
      <c r="O180" s="15"/>
      <c r="P180" s="15"/>
      <c r="Q180" s="15"/>
      <c r="R180" s="15"/>
      <c r="S180" s="15"/>
      <c r="T180" s="15"/>
      <c r="U180" s="15"/>
      <c r="V180" s="15"/>
      <c r="W180" s="15"/>
      <c r="X180" s="15"/>
    </row>
    <row r="181" ht="15.75" customHeight="1">
      <c r="A181" s="15"/>
      <c r="B181" s="15"/>
      <c r="C181" s="13"/>
      <c r="D181" s="15"/>
      <c r="E181" s="15"/>
      <c r="F181" s="15"/>
      <c r="G181" s="15"/>
      <c r="H181" s="15"/>
      <c r="I181" s="15"/>
      <c r="J181" s="15"/>
      <c r="K181" s="15"/>
      <c r="L181" s="15"/>
      <c r="M181" s="15"/>
      <c r="N181" s="15"/>
      <c r="O181" s="15"/>
      <c r="P181" s="15"/>
      <c r="Q181" s="15"/>
      <c r="R181" s="15"/>
      <c r="S181" s="15"/>
      <c r="T181" s="15"/>
      <c r="U181" s="15"/>
      <c r="V181" s="15"/>
      <c r="W181" s="15"/>
      <c r="X181" s="15"/>
    </row>
    <row r="182" ht="15.75" customHeight="1">
      <c r="A182" s="15"/>
      <c r="B182" s="15"/>
      <c r="C182" s="13"/>
      <c r="D182" s="15"/>
      <c r="E182" s="15"/>
      <c r="F182" s="15"/>
      <c r="G182" s="15"/>
      <c r="H182" s="15"/>
      <c r="I182" s="15"/>
      <c r="J182" s="15"/>
      <c r="K182" s="15"/>
      <c r="L182" s="15"/>
      <c r="M182" s="15"/>
      <c r="N182" s="15"/>
      <c r="O182" s="15"/>
      <c r="P182" s="15"/>
      <c r="Q182" s="15"/>
      <c r="R182" s="15"/>
      <c r="S182" s="15"/>
      <c r="T182" s="15"/>
      <c r="U182" s="15"/>
      <c r="V182" s="15"/>
      <c r="W182" s="15"/>
      <c r="X182" s="15"/>
    </row>
    <row r="183" ht="15.75" customHeight="1">
      <c r="A183" s="15"/>
      <c r="B183" s="15"/>
      <c r="C183" s="13"/>
      <c r="D183" s="15"/>
      <c r="E183" s="15"/>
      <c r="F183" s="15"/>
      <c r="G183" s="15"/>
      <c r="H183" s="15"/>
      <c r="I183" s="15"/>
      <c r="J183" s="15"/>
      <c r="K183" s="15"/>
      <c r="L183" s="15"/>
      <c r="M183" s="15"/>
      <c r="N183" s="15"/>
      <c r="O183" s="15"/>
      <c r="P183" s="15"/>
      <c r="Q183" s="15"/>
      <c r="R183" s="15"/>
      <c r="S183" s="15"/>
      <c r="T183" s="15"/>
      <c r="U183" s="15"/>
      <c r="V183" s="15"/>
      <c r="W183" s="15"/>
      <c r="X183" s="15"/>
    </row>
    <row r="184" ht="15.75" customHeight="1">
      <c r="A184" s="15"/>
      <c r="B184" s="15"/>
      <c r="C184" s="13"/>
      <c r="D184" s="15"/>
      <c r="E184" s="15"/>
      <c r="F184" s="15"/>
      <c r="G184" s="15"/>
      <c r="H184" s="15"/>
      <c r="I184" s="15"/>
      <c r="J184" s="15"/>
      <c r="K184" s="15"/>
      <c r="L184" s="15"/>
      <c r="M184" s="15"/>
      <c r="N184" s="15"/>
      <c r="O184" s="15"/>
      <c r="P184" s="15"/>
      <c r="Q184" s="15"/>
      <c r="R184" s="15"/>
      <c r="S184" s="15"/>
      <c r="T184" s="15"/>
      <c r="U184" s="15"/>
      <c r="V184" s="15"/>
      <c r="W184" s="15"/>
      <c r="X184" s="15"/>
    </row>
    <row r="185" ht="15.75" customHeight="1">
      <c r="A185" s="15"/>
      <c r="B185" s="15"/>
      <c r="C185" s="13"/>
      <c r="D185" s="15"/>
      <c r="E185" s="15"/>
      <c r="F185" s="15"/>
      <c r="G185" s="15"/>
      <c r="H185" s="15"/>
      <c r="I185" s="15"/>
      <c r="J185" s="15"/>
      <c r="K185" s="15"/>
      <c r="L185" s="15"/>
      <c r="M185" s="15"/>
      <c r="N185" s="15"/>
      <c r="O185" s="15"/>
      <c r="P185" s="15"/>
      <c r="Q185" s="15"/>
      <c r="R185" s="15"/>
      <c r="S185" s="15"/>
      <c r="T185" s="15"/>
      <c r="U185" s="15"/>
      <c r="V185" s="15"/>
      <c r="W185" s="15"/>
      <c r="X185" s="15"/>
    </row>
    <row r="186" ht="15.75" customHeight="1">
      <c r="A186" s="15"/>
      <c r="B186" s="15"/>
      <c r="C186" s="13"/>
      <c r="D186" s="15"/>
      <c r="E186" s="15"/>
      <c r="F186" s="15"/>
      <c r="G186" s="15"/>
      <c r="H186" s="15"/>
      <c r="I186" s="15"/>
      <c r="J186" s="15"/>
      <c r="K186" s="15"/>
      <c r="L186" s="15"/>
      <c r="M186" s="15"/>
      <c r="N186" s="15"/>
      <c r="O186" s="15"/>
      <c r="P186" s="15"/>
      <c r="Q186" s="15"/>
      <c r="R186" s="15"/>
      <c r="S186" s="15"/>
      <c r="T186" s="15"/>
      <c r="U186" s="15"/>
      <c r="V186" s="15"/>
      <c r="W186" s="15"/>
      <c r="X186" s="15"/>
    </row>
    <row r="187" ht="15.75" customHeight="1">
      <c r="A187" s="15"/>
      <c r="B187" s="15"/>
      <c r="C187" s="13"/>
      <c r="D187" s="15"/>
      <c r="E187" s="15"/>
      <c r="F187" s="15"/>
      <c r="G187" s="15"/>
      <c r="H187" s="15"/>
      <c r="I187" s="15"/>
      <c r="J187" s="15"/>
      <c r="K187" s="15"/>
      <c r="L187" s="15"/>
      <c r="M187" s="15"/>
      <c r="N187" s="15"/>
      <c r="O187" s="15"/>
      <c r="P187" s="15"/>
      <c r="Q187" s="15"/>
      <c r="R187" s="15"/>
      <c r="S187" s="15"/>
      <c r="T187" s="15"/>
      <c r="U187" s="15"/>
      <c r="V187" s="15"/>
      <c r="W187" s="15"/>
      <c r="X187" s="15"/>
    </row>
    <row r="188" ht="15.75" customHeight="1">
      <c r="A188" s="15"/>
      <c r="B188" s="15"/>
      <c r="C188" s="13"/>
      <c r="D188" s="15"/>
      <c r="E188" s="15"/>
      <c r="F188" s="15"/>
      <c r="G188" s="15"/>
      <c r="H188" s="15"/>
      <c r="I188" s="15"/>
      <c r="J188" s="15"/>
      <c r="K188" s="15"/>
      <c r="L188" s="15"/>
      <c r="M188" s="15"/>
      <c r="N188" s="15"/>
      <c r="O188" s="15"/>
      <c r="P188" s="15"/>
      <c r="Q188" s="15"/>
      <c r="R188" s="15"/>
      <c r="S188" s="15"/>
      <c r="T188" s="15"/>
      <c r="U188" s="15"/>
      <c r="V188" s="15"/>
      <c r="W188" s="15"/>
      <c r="X188" s="15"/>
    </row>
    <row r="189" ht="15.75" customHeight="1">
      <c r="A189" s="15"/>
      <c r="B189" s="15"/>
      <c r="C189" s="13"/>
      <c r="D189" s="15"/>
      <c r="E189" s="15"/>
      <c r="F189" s="15"/>
      <c r="G189" s="15"/>
      <c r="H189" s="15"/>
      <c r="I189" s="15"/>
      <c r="J189" s="15"/>
      <c r="K189" s="15"/>
      <c r="L189" s="15"/>
      <c r="M189" s="15"/>
      <c r="N189" s="15"/>
      <c r="O189" s="15"/>
      <c r="P189" s="15"/>
      <c r="Q189" s="15"/>
      <c r="R189" s="15"/>
      <c r="S189" s="15"/>
      <c r="T189" s="15"/>
      <c r="U189" s="15"/>
      <c r="V189" s="15"/>
      <c r="W189" s="15"/>
      <c r="X189" s="15"/>
    </row>
    <row r="190" ht="15.75" customHeight="1">
      <c r="A190" s="15"/>
      <c r="B190" s="15"/>
      <c r="C190" s="13"/>
      <c r="D190" s="15"/>
      <c r="E190" s="15"/>
      <c r="F190" s="15"/>
      <c r="G190" s="15"/>
      <c r="H190" s="15"/>
      <c r="I190" s="15"/>
      <c r="J190" s="15"/>
      <c r="K190" s="15"/>
      <c r="L190" s="15"/>
      <c r="M190" s="15"/>
      <c r="N190" s="15"/>
      <c r="O190" s="15"/>
      <c r="P190" s="15"/>
      <c r="Q190" s="15"/>
      <c r="R190" s="15"/>
      <c r="S190" s="15"/>
      <c r="T190" s="15"/>
      <c r="U190" s="15"/>
      <c r="V190" s="15"/>
      <c r="W190" s="15"/>
      <c r="X190" s="15"/>
    </row>
    <row r="191" ht="15.75" customHeight="1">
      <c r="A191" s="15"/>
      <c r="B191" s="15"/>
      <c r="C191" s="13"/>
      <c r="D191" s="15"/>
      <c r="E191" s="15"/>
      <c r="F191" s="15"/>
      <c r="G191" s="15"/>
      <c r="H191" s="15"/>
      <c r="I191" s="15"/>
      <c r="J191" s="15"/>
      <c r="K191" s="15"/>
      <c r="L191" s="15"/>
      <c r="M191" s="15"/>
      <c r="N191" s="15"/>
      <c r="O191" s="15"/>
      <c r="P191" s="15"/>
      <c r="Q191" s="15"/>
      <c r="R191" s="15"/>
      <c r="S191" s="15"/>
      <c r="T191" s="15"/>
      <c r="U191" s="15"/>
      <c r="V191" s="15"/>
      <c r="W191" s="15"/>
      <c r="X191" s="15"/>
    </row>
    <row r="192" ht="15.75" customHeight="1">
      <c r="A192" s="15"/>
      <c r="B192" s="15"/>
      <c r="C192" s="13"/>
      <c r="D192" s="15"/>
      <c r="E192" s="15"/>
      <c r="F192" s="15"/>
      <c r="G192" s="15"/>
      <c r="H192" s="15"/>
      <c r="I192" s="15"/>
      <c r="J192" s="15"/>
      <c r="K192" s="15"/>
      <c r="L192" s="15"/>
      <c r="M192" s="15"/>
      <c r="N192" s="15"/>
      <c r="O192" s="15"/>
      <c r="P192" s="15"/>
      <c r="Q192" s="15"/>
      <c r="R192" s="15"/>
      <c r="S192" s="15"/>
      <c r="T192" s="15"/>
      <c r="U192" s="15"/>
      <c r="V192" s="15"/>
      <c r="W192" s="15"/>
      <c r="X192" s="15"/>
    </row>
    <row r="193" ht="15.75" customHeight="1">
      <c r="A193" s="15"/>
      <c r="B193" s="15"/>
      <c r="C193" s="13"/>
      <c r="D193" s="15"/>
      <c r="E193" s="15"/>
      <c r="F193" s="15"/>
      <c r="G193" s="15"/>
      <c r="H193" s="15"/>
      <c r="I193" s="15"/>
      <c r="J193" s="15"/>
      <c r="K193" s="15"/>
      <c r="L193" s="15"/>
      <c r="M193" s="15"/>
      <c r="N193" s="15"/>
      <c r="O193" s="15"/>
      <c r="P193" s="15"/>
      <c r="Q193" s="15"/>
      <c r="R193" s="15"/>
      <c r="S193" s="15"/>
      <c r="T193" s="15"/>
      <c r="U193" s="15"/>
      <c r="V193" s="15"/>
      <c r="W193" s="15"/>
      <c r="X193" s="15"/>
    </row>
    <row r="194" ht="15.75" customHeight="1">
      <c r="A194" s="15"/>
      <c r="B194" s="15"/>
      <c r="C194" s="13"/>
      <c r="D194" s="15"/>
      <c r="E194" s="15"/>
      <c r="F194" s="15"/>
      <c r="G194" s="15"/>
      <c r="H194" s="15"/>
      <c r="I194" s="15"/>
      <c r="J194" s="15"/>
      <c r="K194" s="15"/>
      <c r="L194" s="15"/>
      <c r="M194" s="15"/>
      <c r="N194" s="15"/>
      <c r="O194" s="15"/>
      <c r="P194" s="15"/>
      <c r="Q194" s="15"/>
      <c r="R194" s="15"/>
      <c r="S194" s="15"/>
      <c r="T194" s="15"/>
      <c r="U194" s="15"/>
      <c r="V194" s="15"/>
      <c r="W194" s="15"/>
      <c r="X194" s="15"/>
    </row>
    <row r="195" ht="15.75" customHeight="1">
      <c r="A195" s="15"/>
      <c r="B195" s="15"/>
      <c r="C195" s="13"/>
      <c r="D195" s="15"/>
      <c r="E195" s="15"/>
      <c r="F195" s="15"/>
      <c r="G195" s="15"/>
      <c r="H195" s="15"/>
      <c r="I195" s="15"/>
      <c r="J195" s="15"/>
      <c r="K195" s="15"/>
      <c r="L195" s="15"/>
      <c r="M195" s="15"/>
      <c r="N195" s="15"/>
      <c r="O195" s="15"/>
      <c r="P195" s="15"/>
      <c r="Q195" s="15"/>
      <c r="R195" s="15"/>
      <c r="S195" s="15"/>
      <c r="T195" s="15"/>
      <c r="U195" s="15"/>
      <c r="V195" s="15"/>
      <c r="W195" s="15"/>
      <c r="X195" s="15"/>
    </row>
    <row r="196" ht="15.75" customHeight="1">
      <c r="A196" s="15"/>
      <c r="B196" s="15"/>
      <c r="C196" s="13"/>
      <c r="D196" s="15"/>
      <c r="E196" s="15"/>
      <c r="F196" s="15"/>
      <c r="G196" s="15"/>
      <c r="H196" s="15"/>
      <c r="I196" s="15"/>
      <c r="J196" s="15"/>
      <c r="K196" s="15"/>
      <c r="L196" s="15"/>
      <c r="M196" s="15"/>
      <c r="N196" s="15"/>
      <c r="O196" s="15"/>
      <c r="P196" s="15"/>
      <c r="Q196" s="15"/>
      <c r="R196" s="15"/>
      <c r="S196" s="15"/>
      <c r="T196" s="15"/>
      <c r="U196" s="15"/>
      <c r="V196" s="15"/>
      <c r="W196" s="15"/>
      <c r="X196" s="15"/>
    </row>
    <row r="197" ht="15.75" customHeight="1">
      <c r="A197" s="15"/>
      <c r="B197" s="15"/>
      <c r="C197" s="13"/>
      <c r="D197" s="15"/>
      <c r="E197" s="15"/>
      <c r="F197" s="15"/>
      <c r="G197" s="15"/>
      <c r="H197" s="15"/>
      <c r="I197" s="15"/>
      <c r="J197" s="15"/>
      <c r="K197" s="15"/>
      <c r="L197" s="15"/>
      <c r="M197" s="15"/>
      <c r="N197" s="15"/>
      <c r="O197" s="15"/>
      <c r="P197" s="15"/>
      <c r="Q197" s="15"/>
      <c r="R197" s="15"/>
      <c r="S197" s="15"/>
      <c r="T197" s="15"/>
      <c r="U197" s="15"/>
      <c r="V197" s="15"/>
      <c r="W197" s="15"/>
      <c r="X197" s="15"/>
    </row>
    <row r="198" ht="15.75" customHeight="1">
      <c r="A198" s="15"/>
      <c r="B198" s="15"/>
      <c r="C198" s="13"/>
      <c r="D198" s="15"/>
      <c r="E198" s="15"/>
      <c r="F198" s="15"/>
      <c r="G198" s="15"/>
      <c r="H198" s="15"/>
      <c r="I198" s="15"/>
      <c r="J198" s="15"/>
      <c r="K198" s="15"/>
      <c r="L198" s="15"/>
      <c r="M198" s="15"/>
      <c r="N198" s="15"/>
      <c r="O198" s="15"/>
      <c r="P198" s="15"/>
      <c r="Q198" s="15"/>
      <c r="R198" s="15"/>
      <c r="S198" s="15"/>
      <c r="T198" s="15"/>
      <c r="U198" s="15"/>
      <c r="V198" s="15"/>
      <c r="W198" s="15"/>
      <c r="X198" s="15"/>
    </row>
    <row r="199" ht="15.75" customHeight="1">
      <c r="A199" s="15"/>
      <c r="B199" s="15"/>
      <c r="C199" s="13"/>
      <c r="D199" s="15"/>
      <c r="E199" s="15"/>
      <c r="F199" s="15"/>
      <c r="G199" s="15"/>
      <c r="H199" s="15"/>
      <c r="I199" s="15"/>
      <c r="J199" s="15"/>
      <c r="K199" s="15"/>
      <c r="L199" s="15"/>
      <c r="M199" s="15"/>
      <c r="N199" s="15"/>
      <c r="O199" s="15"/>
      <c r="P199" s="15"/>
      <c r="Q199" s="15"/>
      <c r="R199" s="15"/>
      <c r="S199" s="15"/>
      <c r="T199" s="15"/>
      <c r="U199" s="15"/>
      <c r="V199" s="15"/>
      <c r="W199" s="15"/>
      <c r="X199" s="15"/>
    </row>
    <row r="200" ht="15.75" customHeight="1">
      <c r="A200" s="15"/>
      <c r="B200" s="15"/>
      <c r="C200" s="13"/>
      <c r="D200" s="15"/>
      <c r="E200" s="15"/>
      <c r="F200" s="15"/>
      <c r="G200" s="15"/>
      <c r="H200" s="15"/>
      <c r="I200" s="15"/>
      <c r="J200" s="15"/>
      <c r="K200" s="15"/>
      <c r="L200" s="15"/>
      <c r="M200" s="15"/>
      <c r="N200" s="15"/>
      <c r="O200" s="15"/>
      <c r="P200" s="15"/>
      <c r="Q200" s="15"/>
      <c r="R200" s="15"/>
      <c r="S200" s="15"/>
      <c r="T200" s="15"/>
      <c r="U200" s="15"/>
      <c r="V200" s="15"/>
      <c r="W200" s="15"/>
      <c r="X200" s="15"/>
    </row>
    <row r="201" ht="15.75" customHeight="1">
      <c r="A201" s="15"/>
      <c r="B201" s="15"/>
      <c r="C201" s="13"/>
      <c r="D201" s="15"/>
      <c r="E201" s="15"/>
      <c r="F201" s="15"/>
      <c r="G201" s="15"/>
      <c r="H201" s="15"/>
      <c r="I201" s="15"/>
      <c r="J201" s="15"/>
      <c r="K201" s="15"/>
      <c r="L201" s="15"/>
      <c r="M201" s="15"/>
      <c r="N201" s="15"/>
      <c r="O201" s="15"/>
      <c r="P201" s="15"/>
      <c r="Q201" s="15"/>
      <c r="R201" s="15"/>
      <c r="S201" s="15"/>
      <c r="T201" s="15"/>
      <c r="U201" s="15"/>
      <c r="V201" s="15"/>
      <c r="W201" s="15"/>
      <c r="X201" s="15"/>
    </row>
    <row r="202" ht="15.75" customHeight="1">
      <c r="A202" s="15"/>
      <c r="B202" s="15"/>
      <c r="C202" s="13"/>
      <c r="D202" s="15"/>
      <c r="E202" s="15"/>
      <c r="F202" s="15"/>
      <c r="G202" s="15"/>
      <c r="H202" s="15"/>
      <c r="I202" s="15"/>
      <c r="J202" s="15"/>
      <c r="K202" s="15"/>
      <c r="L202" s="15"/>
      <c r="M202" s="15"/>
      <c r="N202" s="15"/>
      <c r="O202" s="15"/>
      <c r="P202" s="15"/>
      <c r="Q202" s="15"/>
      <c r="R202" s="15"/>
      <c r="S202" s="15"/>
      <c r="T202" s="15"/>
      <c r="U202" s="15"/>
      <c r="V202" s="15"/>
      <c r="W202" s="15"/>
      <c r="X202" s="15"/>
    </row>
    <row r="203" ht="15.75" customHeight="1">
      <c r="A203" s="15"/>
      <c r="B203" s="15"/>
      <c r="C203" s="13"/>
      <c r="D203" s="15"/>
      <c r="E203" s="15"/>
      <c r="F203" s="15"/>
      <c r="G203" s="15"/>
      <c r="H203" s="15"/>
      <c r="I203" s="15"/>
      <c r="J203" s="15"/>
      <c r="K203" s="15"/>
      <c r="L203" s="15"/>
      <c r="M203" s="15"/>
      <c r="N203" s="15"/>
      <c r="O203" s="15"/>
      <c r="P203" s="15"/>
      <c r="Q203" s="15"/>
      <c r="R203" s="15"/>
      <c r="S203" s="15"/>
      <c r="T203" s="15"/>
      <c r="U203" s="15"/>
      <c r="V203" s="15"/>
      <c r="W203" s="15"/>
      <c r="X203" s="15"/>
    </row>
    <row r="204" ht="15.75" customHeight="1">
      <c r="A204" s="15"/>
      <c r="B204" s="15"/>
      <c r="C204" s="13"/>
      <c r="D204" s="15"/>
      <c r="E204" s="15"/>
      <c r="F204" s="15"/>
      <c r="G204" s="15"/>
      <c r="H204" s="15"/>
      <c r="I204" s="15"/>
      <c r="J204" s="15"/>
      <c r="K204" s="15"/>
      <c r="L204" s="15"/>
      <c r="M204" s="15"/>
      <c r="N204" s="15"/>
      <c r="O204" s="15"/>
      <c r="P204" s="15"/>
      <c r="Q204" s="15"/>
      <c r="R204" s="15"/>
      <c r="S204" s="15"/>
      <c r="T204" s="15"/>
      <c r="U204" s="15"/>
      <c r="V204" s="15"/>
      <c r="W204" s="15"/>
      <c r="X204" s="15"/>
    </row>
    <row r="205" ht="15.75" customHeight="1">
      <c r="A205" s="15"/>
      <c r="B205" s="15"/>
      <c r="C205" s="13"/>
      <c r="D205" s="15"/>
      <c r="E205" s="15"/>
      <c r="F205" s="15"/>
      <c r="G205" s="15"/>
      <c r="H205" s="15"/>
      <c r="I205" s="15"/>
      <c r="J205" s="15"/>
      <c r="K205" s="15"/>
      <c r="L205" s="15"/>
      <c r="M205" s="15"/>
      <c r="N205" s="15"/>
      <c r="O205" s="15"/>
      <c r="P205" s="15"/>
      <c r="Q205" s="15"/>
      <c r="R205" s="15"/>
      <c r="S205" s="15"/>
      <c r="T205" s="15"/>
      <c r="U205" s="15"/>
      <c r="V205" s="15"/>
      <c r="W205" s="15"/>
      <c r="X205" s="15"/>
    </row>
    <row r="206" ht="15.75" customHeight="1">
      <c r="A206" s="15"/>
      <c r="B206" s="15"/>
      <c r="C206" s="13"/>
      <c r="D206" s="15"/>
      <c r="E206" s="15"/>
      <c r="F206" s="15"/>
      <c r="G206" s="15"/>
      <c r="H206" s="15"/>
      <c r="I206" s="15"/>
      <c r="J206" s="15"/>
      <c r="K206" s="15"/>
      <c r="L206" s="15"/>
      <c r="M206" s="15"/>
      <c r="N206" s="15"/>
      <c r="O206" s="15"/>
      <c r="P206" s="15"/>
      <c r="Q206" s="15"/>
      <c r="R206" s="15"/>
      <c r="S206" s="15"/>
      <c r="T206" s="15"/>
      <c r="U206" s="15"/>
      <c r="V206" s="15"/>
      <c r="W206" s="15"/>
      <c r="X206" s="15"/>
    </row>
    <row r="207" ht="15.75" customHeight="1">
      <c r="A207" s="15"/>
      <c r="B207" s="15"/>
      <c r="C207" s="13"/>
      <c r="D207" s="15"/>
      <c r="E207" s="15"/>
      <c r="F207" s="15"/>
      <c r="G207" s="15"/>
      <c r="H207" s="15"/>
      <c r="I207" s="15"/>
      <c r="J207" s="15"/>
      <c r="K207" s="15"/>
      <c r="L207" s="15"/>
      <c r="M207" s="15"/>
      <c r="N207" s="15"/>
      <c r="O207" s="15"/>
      <c r="P207" s="15"/>
      <c r="Q207" s="15"/>
      <c r="R207" s="15"/>
      <c r="S207" s="15"/>
      <c r="T207" s="15"/>
      <c r="U207" s="15"/>
      <c r="V207" s="15"/>
      <c r="W207" s="15"/>
      <c r="X207" s="15"/>
    </row>
    <row r="208" ht="15.75" customHeight="1">
      <c r="A208" s="15"/>
      <c r="B208" s="15"/>
      <c r="C208" s="13"/>
      <c r="D208" s="15"/>
      <c r="E208" s="15"/>
      <c r="F208" s="15"/>
      <c r="G208" s="15"/>
      <c r="H208" s="15"/>
      <c r="I208" s="15"/>
      <c r="J208" s="15"/>
      <c r="K208" s="15"/>
      <c r="L208" s="15"/>
      <c r="M208" s="15"/>
      <c r="N208" s="15"/>
      <c r="O208" s="15"/>
      <c r="P208" s="15"/>
      <c r="Q208" s="15"/>
      <c r="R208" s="15"/>
      <c r="S208" s="15"/>
      <c r="T208" s="15"/>
      <c r="U208" s="15"/>
      <c r="V208" s="15"/>
      <c r="W208" s="15"/>
      <c r="X208" s="15"/>
    </row>
    <row r="209" ht="15.75" customHeight="1">
      <c r="A209" s="15"/>
      <c r="B209" s="15"/>
      <c r="C209" s="13"/>
      <c r="D209" s="15"/>
      <c r="E209" s="15"/>
      <c r="F209" s="15"/>
      <c r="G209" s="15"/>
      <c r="H209" s="15"/>
      <c r="I209" s="15"/>
      <c r="J209" s="15"/>
      <c r="K209" s="15"/>
      <c r="L209" s="15"/>
      <c r="M209" s="15"/>
      <c r="N209" s="15"/>
      <c r="O209" s="15"/>
      <c r="P209" s="15"/>
      <c r="Q209" s="15"/>
      <c r="R209" s="15"/>
      <c r="S209" s="15"/>
      <c r="T209" s="15"/>
      <c r="U209" s="15"/>
      <c r="V209" s="15"/>
      <c r="W209" s="15"/>
      <c r="X209" s="15"/>
    </row>
    <row r="210" ht="15.75" customHeight="1">
      <c r="A210" s="15"/>
      <c r="B210" s="15"/>
      <c r="C210" s="13"/>
      <c r="D210" s="15"/>
      <c r="E210" s="15"/>
      <c r="F210" s="15"/>
      <c r="G210" s="15"/>
      <c r="H210" s="15"/>
      <c r="I210" s="15"/>
      <c r="J210" s="15"/>
      <c r="K210" s="15"/>
      <c r="L210" s="15"/>
      <c r="M210" s="15"/>
      <c r="N210" s="15"/>
      <c r="O210" s="15"/>
      <c r="P210" s="15"/>
      <c r="Q210" s="15"/>
      <c r="R210" s="15"/>
      <c r="S210" s="15"/>
      <c r="T210" s="15"/>
      <c r="U210" s="15"/>
      <c r="V210" s="15"/>
      <c r="W210" s="15"/>
      <c r="X210" s="15"/>
    </row>
    <row r="211" ht="15.75" customHeight="1">
      <c r="A211" s="15"/>
      <c r="B211" s="15"/>
      <c r="C211" s="13"/>
      <c r="D211" s="15"/>
      <c r="E211" s="15"/>
      <c r="F211" s="15"/>
      <c r="G211" s="15"/>
      <c r="H211" s="15"/>
      <c r="I211" s="15"/>
      <c r="J211" s="15"/>
      <c r="K211" s="15"/>
      <c r="L211" s="15"/>
      <c r="M211" s="15"/>
      <c r="N211" s="15"/>
      <c r="O211" s="15"/>
      <c r="P211" s="15"/>
      <c r="Q211" s="15"/>
      <c r="R211" s="15"/>
      <c r="S211" s="15"/>
      <c r="T211" s="15"/>
      <c r="U211" s="15"/>
      <c r="V211" s="15"/>
      <c r="W211" s="15"/>
      <c r="X211" s="15"/>
    </row>
    <row r="212" ht="15.75" customHeight="1">
      <c r="A212" s="15"/>
      <c r="B212" s="15"/>
      <c r="C212" s="13"/>
      <c r="D212" s="15"/>
      <c r="E212" s="15"/>
      <c r="F212" s="15"/>
      <c r="G212" s="15"/>
      <c r="H212" s="15"/>
      <c r="I212" s="15"/>
      <c r="J212" s="15"/>
      <c r="K212" s="15"/>
      <c r="L212" s="15"/>
      <c r="M212" s="15"/>
      <c r="N212" s="15"/>
      <c r="O212" s="15"/>
      <c r="P212" s="15"/>
      <c r="Q212" s="15"/>
      <c r="R212" s="15"/>
      <c r="S212" s="15"/>
      <c r="T212" s="15"/>
      <c r="U212" s="15"/>
      <c r="V212" s="15"/>
      <c r="W212" s="15"/>
      <c r="X212" s="15"/>
    </row>
    <row r="213" ht="15.75" customHeight="1">
      <c r="A213" s="15"/>
      <c r="B213" s="15"/>
      <c r="C213" s="13"/>
      <c r="D213" s="15"/>
      <c r="E213" s="15"/>
      <c r="F213" s="15"/>
      <c r="G213" s="15"/>
      <c r="H213" s="15"/>
      <c r="I213" s="15"/>
      <c r="J213" s="15"/>
      <c r="K213" s="15"/>
      <c r="L213" s="15"/>
      <c r="M213" s="15"/>
      <c r="N213" s="15"/>
      <c r="O213" s="15"/>
      <c r="P213" s="15"/>
      <c r="Q213" s="15"/>
      <c r="R213" s="15"/>
      <c r="S213" s="15"/>
      <c r="T213" s="15"/>
      <c r="U213" s="15"/>
      <c r="V213" s="15"/>
      <c r="W213" s="15"/>
      <c r="X213" s="15"/>
    </row>
    <row r="214" ht="15.75" customHeight="1">
      <c r="A214" s="15"/>
      <c r="B214" s="15"/>
      <c r="C214" s="13"/>
      <c r="D214" s="15"/>
      <c r="E214" s="15"/>
      <c r="F214" s="15"/>
      <c r="G214" s="15"/>
      <c r="H214" s="15"/>
      <c r="I214" s="15"/>
      <c r="J214" s="15"/>
      <c r="K214" s="15"/>
      <c r="L214" s="15"/>
      <c r="M214" s="15"/>
      <c r="N214" s="15"/>
      <c r="O214" s="15"/>
      <c r="P214" s="15"/>
      <c r="Q214" s="15"/>
      <c r="R214" s="15"/>
      <c r="S214" s="15"/>
      <c r="T214" s="15"/>
      <c r="U214" s="15"/>
      <c r="V214" s="15"/>
      <c r="W214" s="15"/>
      <c r="X214" s="15"/>
    </row>
    <row r="215" ht="15.75" customHeight="1">
      <c r="A215" s="15"/>
      <c r="B215" s="15"/>
      <c r="C215" s="13"/>
      <c r="D215" s="15"/>
      <c r="E215" s="15"/>
      <c r="F215" s="15"/>
      <c r="G215" s="15"/>
      <c r="H215" s="15"/>
      <c r="I215" s="15"/>
      <c r="J215" s="15"/>
      <c r="K215" s="15"/>
      <c r="L215" s="15"/>
      <c r="M215" s="15"/>
      <c r="N215" s="15"/>
      <c r="O215" s="15"/>
      <c r="P215" s="15"/>
      <c r="Q215" s="15"/>
      <c r="R215" s="15"/>
      <c r="S215" s="15"/>
      <c r="T215" s="15"/>
      <c r="U215" s="15"/>
      <c r="V215" s="15"/>
      <c r="W215" s="15"/>
      <c r="X215" s="15"/>
    </row>
    <row r="216" ht="15.75" customHeight="1">
      <c r="A216" s="15"/>
      <c r="B216" s="15"/>
      <c r="C216" s="13"/>
      <c r="D216" s="15"/>
      <c r="E216" s="15"/>
      <c r="F216" s="15"/>
      <c r="G216" s="15"/>
      <c r="H216" s="15"/>
      <c r="I216" s="15"/>
      <c r="J216" s="15"/>
      <c r="K216" s="15"/>
      <c r="L216" s="15"/>
      <c r="M216" s="15"/>
      <c r="N216" s="15"/>
      <c r="O216" s="15"/>
      <c r="P216" s="15"/>
      <c r="Q216" s="15"/>
      <c r="R216" s="15"/>
      <c r="S216" s="15"/>
      <c r="T216" s="15"/>
      <c r="U216" s="15"/>
      <c r="V216" s="15"/>
      <c r="W216" s="15"/>
      <c r="X216" s="15"/>
    </row>
    <row r="217" ht="15.75" customHeight="1">
      <c r="A217" s="15"/>
      <c r="B217" s="15"/>
      <c r="C217" s="13"/>
      <c r="D217" s="15"/>
      <c r="E217" s="15"/>
      <c r="F217" s="15"/>
      <c r="G217" s="15"/>
      <c r="H217" s="15"/>
      <c r="I217" s="15"/>
      <c r="J217" s="15"/>
      <c r="K217" s="15"/>
      <c r="L217" s="15"/>
      <c r="M217" s="15"/>
      <c r="N217" s="15"/>
      <c r="O217" s="15"/>
      <c r="P217" s="15"/>
      <c r="Q217" s="15"/>
      <c r="R217" s="15"/>
      <c r="S217" s="15"/>
      <c r="T217" s="15"/>
      <c r="U217" s="15"/>
      <c r="V217" s="15"/>
      <c r="W217" s="15"/>
      <c r="X217" s="15"/>
    </row>
    <row r="218" ht="15.75" customHeight="1">
      <c r="A218" s="15"/>
      <c r="B218" s="15"/>
      <c r="C218" s="13"/>
      <c r="D218" s="15"/>
      <c r="E218" s="15"/>
      <c r="F218" s="15"/>
      <c r="G218" s="15"/>
      <c r="H218" s="15"/>
      <c r="I218" s="15"/>
      <c r="J218" s="15"/>
      <c r="K218" s="15"/>
      <c r="L218" s="15"/>
      <c r="M218" s="15"/>
      <c r="N218" s="15"/>
      <c r="O218" s="15"/>
      <c r="P218" s="15"/>
      <c r="Q218" s="15"/>
      <c r="R218" s="15"/>
      <c r="S218" s="15"/>
      <c r="T218" s="15"/>
      <c r="U218" s="15"/>
      <c r="V218" s="15"/>
      <c r="W218" s="15"/>
      <c r="X218" s="15"/>
    </row>
    <row r="219" ht="15.75" customHeight="1">
      <c r="A219" s="15"/>
      <c r="B219" s="15"/>
      <c r="C219" s="13"/>
      <c r="D219" s="15"/>
      <c r="E219" s="15"/>
      <c r="F219" s="15"/>
      <c r="G219" s="15"/>
      <c r="H219" s="15"/>
      <c r="I219" s="15"/>
      <c r="J219" s="15"/>
      <c r="K219" s="15"/>
      <c r="L219" s="15"/>
      <c r="M219" s="15"/>
      <c r="N219" s="15"/>
      <c r="O219" s="15"/>
      <c r="P219" s="15"/>
      <c r="Q219" s="15"/>
      <c r="R219" s="15"/>
      <c r="S219" s="15"/>
      <c r="T219" s="15"/>
      <c r="U219" s="15"/>
      <c r="V219" s="15"/>
      <c r="W219" s="15"/>
      <c r="X219" s="15"/>
    </row>
    <row r="220" ht="15.75" customHeight="1">
      <c r="A220" s="15"/>
      <c r="B220" s="15"/>
      <c r="C220" s="13"/>
      <c r="D220" s="15"/>
      <c r="E220" s="15"/>
      <c r="F220" s="15"/>
      <c r="G220" s="15"/>
      <c r="H220" s="15"/>
      <c r="I220" s="15"/>
      <c r="J220" s="15"/>
      <c r="K220" s="15"/>
      <c r="L220" s="15"/>
      <c r="M220" s="15"/>
      <c r="N220" s="15"/>
      <c r="O220" s="15"/>
      <c r="P220" s="15"/>
      <c r="Q220" s="15"/>
      <c r="R220" s="15"/>
      <c r="S220" s="15"/>
      <c r="T220" s="15"/>
      <c r="U220" s="15"/>
      <c r="V220" s="15"/>
      <c r="W220" s="15"/>
      <c r="X220" s="15"/>
    </row>
    <row r="221" ht="15.75" customHeight="1">
      <c r="A221" s="15"/>
      <c r="B221" s="15"/>
      <c r="C221" s="13"/>
      <c r="D221" s="15"/>
      <c r="E221" s="15"/>
      <c r="F221" s="15"/>
      <c r="G221" s="15"/>
      <c r="H221" s="15"/>
      <c r="I221" s="15"/>
      <c r="J221" s="15"/>
      <c r="K221" s="15"/>
      <c r="L221" s="15"/>
      <c r="M221" s="15"/>
      <c r="N221" s="15"/>
      <c r="O221" s="15"/>
      <c r="P221" s="15"/>
      <c r="Q221" s="15"/>
      <c r="R221" s="15"/>
      <c r="S221" s="15"/>
      <c r="T221" s="15"/>
      <c r="U221" s="15"/>
      <c r="V221" s="15"/>
      <c r="W221" s="15"/>
      <c r="X221" s="15"/>
    </row>
    <row r="222" ht="15.75" customHeight="1">
      <c r="A222" s="15"/>
      <c r="B222" s="15"/>
      <c r="C222" s="13"/>
      <c r="D222" s="15"/>
      <c r="E222" s="15"/>
      <c r="F222" s="15"/>
      <c r="G222" s="15"/>
      <c r="H222" s="15"/>
      <c r="I222" s="15"/>
      <c r="J222" s="15"/>
      <c r="K222" s="15"/>
      <c r="L222" s="15"/>
      <c r="M222" s="15"/>
      <c r="N222" s="15"/>
      <c r="O222" s="15"/>
      <c r="P222" s="15"/>
      <c r="Q222" s="15"/>
      <c r="R222" s="15"/>
      <c r="S222" s="15"/>
      <c r="T222" s="15"/>
      <c r="U222" s="15"/>
      <c r="V222" s="15"/>
      <c r="W222" s="15"/>
      <c r="X222" s="15"/>
    </row>
    <row r="223" ht="15.75" customHeight="1">
      <c r="A223" s="15"/>
      <c r="B223" s="15"/>
      <c r="C223" s="13"/>
      <c r="D223" s="15"/>
      <c r="E223" s="15"/>
      <c r="F223" s="15"/>
      <c r="G223" s="15"/>
      <c r="H223" s="15"/>
      <c r="I223" s="15"/>
      <c r="J223" s="15"/>
      <c r="K223" s="15"/>
      <c r="L223" s="15"/>
      <c r="M223" s="15"/>
      <c r="N223" s="15"/>
      <c r="O223" s="15"/>
      <c r="P223" s="15"/>
      <c r="Q223" s="15"/>
      <c r="R223" s="15"/>
      <c r="S223" s="15"/>
      <c r="T223" s="15"/>
      <c r="U223" s="15"/>
      <c r="V223" s="15"/>
      <c r="W223" s="15"/>
      <c r="X223" s="15"/>
    </row>
    <row r="224" ht="15.75" customHeight="1">
      <c r="A224" s="15"/>
      <c r="B224" s="15"/>
      <c r="C224" s="13"/>
      <c r="D224" s="15"/>
      <c r="E224" s="15"/>
      <c r="F224" s="15"/>
      <c r="G224" s="15"/>
      <c r="H224" s="15"/>
      <c r="I224" s="15"/>
      <c r="J224" s="15"/>
      <c r="K224" s="15"/>
      <c r="L224" s="15"/>
      <c r="M224" s="15"/>
      <c r="N224" s="15"/>
      <c r="O224" s="15"/>
      <c r="P224" s="15"/>
      <c r="Q224" s="15"/>
      <c r="R224" s="15"/>
      <c r="S224" s="15"/>
      <c r="T224" s="15"/>
      <c r="U224" s="15"/>
      <c r="V224" s="15"/>
      <c r="W224" s="15"/>
      <c r="X224" s="15"/>
    </row>
    <row r="225" ht="15.75" customHeight="1">
      <c r="A225" s="15"/>
      <c r="B225" s="15"/>
      <c r="C225" s="13"/>
      <c r="D225" s="15"/>
      <c r="E225" s="15"/>
      <c r="F225" s="15"/>
      <c r="G225" s="15"/>
      <c r="H225" s="15"/>
      <c r="I225" s="15"/>
      <c r="J225" s="15"/>
      <c r="K225" s="15"/>
      <c r="L225" s="15"/>
      <c r="M225" s="15"/>
      <c r="N225" s="15"/>
      <c r="O225" s="15"/>
      <c r="P225" s="15"/>
      <c r="Q225" s="15"/>
      <c r="R225" s="15"/>
      <c r="S225" s="15"/>
      <c r="T225" s="15"/>
      <c r="U225" s="15"/>
      <c r="V225" s="15"/>
      <c r="W225" s="15"/>
      <c r="X225" s="15"/>
    </row>
    <row r="226" ht="15.75" customHeight="1">
      <c r="A226" s="15"/>
      <c r="B226" s="15"/>
      <c r="C226" s="13"/>
      <c r="D226" s="15"/>
      <c r="E226" s="15"/>
      <c r="F226" s="15"/>
      <c r="G226" s="15"/>
      <c r="H226" s="15"/>
      <c r="I226" s="15"/>
      <c r="J226" s="15"/>
      <c r="K226" s="15"/>
      <c r="L226" s="15"/>
      <c r="M226" s="15"/>
      <c r="N226" s="15"/>
      <c r="O226" s="15"/>
      <c r="P226" s="15"/>
      <c r="Q226" s="15"/>
      <c r="R226" s="15"/>
      <c r="S226" s="15"/>
      <c r="T226" s="15"/>
      <c r="U226" s="15"/>
      <c r="V226" s="15"/>
      <c r="W226" s="15"/>
      <c r="X226" s="15"/>
    </row>
    <row r="227" ht="15.75" customHeight="1">
      <c r="A227" s="15"/>
      <c r="B227" s="15"/>
      <c r="C227" s="13"/>
      <c r="D227" s="15"/>
      <c r="E227" s="15"/>
      <c r="F227" s="15"/>
      <c r="G227" s="15"/>
      <c r="H227" s="15"/>
      <c r="I227" s="15"/>
      <c r="J227" s="15"/>
      <c r="K227" s="15"/>
      <c r="L227" s="15"/>
      <c r="M227" s="15"/>
      <c r="N227" s="15"/>
      <c r="O227" s="15"/>
      <c r="P227" s="15"/>
      <c r="Q227" s="15"/>
      <c r="R227" s="15"/>
      <c r="S227" s="15"/>
      <c r="T227" s="15"/>
      <c r="U227" s="15"/>
      <c r="V227" s="15"/>
      <c r="W227" s="15"/>
      <c r="X227" s="15"/>
    </row>
    <row r="228" ht="15.75" customHeight="1">
      <c r="A228" s="15"/>
      <c r="B228" s="15"/>
      <c r="C228" s="13"/>
      <c r="D228" s="15"/>
      <c r="E228" s="15"/>
      <c r="F228" s="15"/>
      <c r="G228" s="15"/>
      <c r="H228" s="15"/>
      <c r="I228" s="15"/>
      <c r="J228" s="15"/>
      <c r="K228" s="15"/>
      <c r="L228" s="15"/>
      <c r="M228" s="15"/>
      <c r="N228" s="15"/>
      <c r="O228" s="15"/>
      <c r="P228" s="15"/>
      <c r="Q228" s="15"/>
      <c r="R228" s="15"/>
      <c r="S228" s="15"/>
      <c r="T228" s="15"/>
      <c r="U228" s="15"/>
      <c r="V228" s="15"/>
      <c r="W228" s="15"/>
      <c r="X228" s="15"/>
    </row>
    <row r="229" ht="15.75" customHeight="1">
      <c r="A229" s="15"/>
      <c r="B229" s="15"/>
      <c r="C229" s="13"/>
      <c r="D229" s="15"/>
      <c r="E229" s="15"/>
      <c r="F229" s="15"/>
      <c r="G229" s="15"/>
      <c r="H229" s="15"/>
      <c r="I229" s="15"/>
      <c r="J229" s="15"/>
      <c r="K229" s="15"/>
      <c r="L229" s="15"/>
      <c r="M229" s="15"/>
      <c r="N229" s="15"/>
      <c r="O229" s="15"/>
      <c r="P229" s="15"/>
      <c r="Q229" s="15"/>
      <c r="R229" s="15"/>
      <c r="S229" s="15"/>
      <c r="T229" s="15"/>
      <c r="U229" s="15"/>
      <c r="V229" s="15"/>
      <c r="W229" s="15"/>
      <c r="X229" s="15"/>
    </row>
    <row r="230" ht="15.75" customHeight="1">
      <c r="A230" s="15"/>
      <c r="B230" s="15"/>
      <c r="C230" s="13"/>
      <c r="D230" s="15"/>
      <c r="E230" s="15"/>
      <c r="F230" s="15"/>
      <c r="G230" s="15"/>
      <c r="H230" s="15"/>
      <c r="I230" s="15"/>
      <c r="J230" s="15"/>
      <c r="K230" s="15"/>
      <c r="L230" s="15"/>
      <c r="M230" s="15"/>
      <c r="N230" s="15"/>
      <c r="O230" s="15"/>
      <c r="P230" s="15"/>
      <c r="Q230" s="15"/>
      <c r="R230" s="15"/>
      <c r="S230" s="15"/>
      <c r="T230" s="15"/>
      <c r="U230" s="15"/>
      <c r="V230" s="15"/>
      <c r="W230" s="15"/>
      <c r="X230" s="15"/>
    </row>
    <row r="231" ht="15.75" customHeight="1">
      <c r="A231" s="15"/>
      <c r="B231" s="15"/>
      <c r="C231" s="13"/>
      <c r="D231" s="15"/>
      <c r="E231" s="15"/>
      <c r="F231" s="15"/>
      <c r="G231" s="15"/>
      <c r="H231" s="15"/>
      <c r="I231" s="15"/>
      <c r="J231" s="15"/>
      <c r="K231" s="15"/>
      <c r="L231" s="15"/>
      <c r="M231" s="15"/>
      <c r="N231" s="15"/>
      <c r="O231" s="15"/>
      <c r="P231" s="15"/>
      <c r="Q231" s="15"/>
      <c r="R231" s="15"/>
      <c r="S231" s="15"/>
      <c r="T231" s="15"/>
      <c r="U231" s="15"/>
      <c r="V231" s="15"/>
      <c r="W231" s="15"/>
      <c r="X231" s="15"/>
    </row>
    <row r="232" ht="15.75" customHeight="1">
      <c r="A232" s="15"/>
      <c r="B232" s="15"/>
      <c r="C232" s="13"/>
      <c r="D232" s="15"/>
      <c r="E232" s="15"/>
      <c r="F232" s="15"/>
      <c r="G232" s="15"/>
      <c r="H232" s="15"/>
      <c r="I232" s="15"/>
      <c r="J232" s="15"/>
      <c r="K232" s="15"/>
      <c r="L232" s="15"/>
      <c r="M232" s="15"/>
      <c r="N232" s="15"/>
      <c r="O232" s="15"/>
      <c r="P232" s="15"/>
      <c r="Q232" s="15"/>
      <c r="R232" s="15"/>
      <c r="S232" s="15"/>
      <c r="T232" s="15"/>
      <c r="U232" s="15"/>
      <c r="V232" s="15"/>
      <c r="W232" s="15"/>
      <c r="X232" s="15"/>
    </row>
    <row r="233" ht="15.75" customHeight="1">
      <c r="A233" s="15"/>
      <c r="B233" s="15"/>
      <c r="C233" s="13"/>
      <c r="D233" s="15"/>
      <c r="E233" s="15"/>
      <c r="F233" s="15"/>
      <c r="G233" s="15"/>
      <c r="H233" s="15"/>
      <c r="I233" s="15"/>
      <c r="J233" s="15"/>
      <c r="K233" s="15"/>
      <c r="L233" s="15"/>
      <c r="M233" s="15"/>
      <c r="N233" s="15"/>
      <c r="O233" s="15"/>
      <c r="P233" s="15"/>
      <c r="Q233" s="15"/>
      <c r="R233" s="15"/>
      <c r="S233" s="15"/>
      <c r="T233" s="15"/>
      <c r="U233" s="15"/>
      <c r="V233" s="15"/>
      <c r="W233" s="15"/>
      <c r="X233" s="15"/>
    </row>
    <row r="234" ht="15.75" customHeight="1">
      <c r="A234" s="15"/>
      <c r="B234" s="15"/>
      <c r="C234" s="13"/>
      <c r="D234" s="15"/>
      <c r="E234" s="15"/>
      <c r="F234" s="15"/>
      <c r="G234" s="15"/>
      <c r="H234" s="15"/>
      <c r="I234" s="15"/>
      <c r="J234" s="15"/>
      <c r="K234" s="15"/>
      <c r="L234" s="15"/>
      <c r="M234" s="15"/>
      <c r="N234" s="15"/>
      <c r="O234" s="15"/>
      <c r="P234" s="15"/>
      <c r="Q234" s="15"/>
      <c r="R234" s="15"/>
      <c r="S234" s="15"/>
      <c r="T234" s="15"/>
      <c r="U234" s="15"/>
      <c r="V234" s="15"/>
      <c r="W234" s="15"/>
      <c r="X234" s="15"/>
    </row>
    <row r="235" ht="15.75" customHeight="1">
      <c r="A235" s="15"/>
      <c r="B235" s="15"/>
      <c r="C235" s="13"/>
      <c r="D235" s="15"/>
      <c r="E235" s="15"/>
      <c r="F235" s="15"/>
      <c r="G235" s="15"/>
      <c r="H235" s="15"/>
      <c r="I235" s="15"/>
      <c r="J235" s="15"/>
      <c r="K235" s="15"/>
      <c r="L235" s="15"/>
      <c r="M235" s="15"/>
      <c r="N235" s="15"/>
      <c r="O235" s="15"/>
      <c r="P235" s="15"/>
      <c r="Q235" s="15"/>
      <c r="R235" s="15"/>
      <c r="S235" s="15"/>
      <c r="T235" s="15"/>
      <c r="U235" s="15"/>
      <c r="V235" s="15"/>
      <c r="W235" s="15"/>
      <c r="X235" s="15"/>
    </row>
    <row r="236" ht="15.75" customHeight="1">
      <c r="A236" s="15"/>
      <c r="B236" s="15"/>
      <c r="C236" s="13"/>
      <c r="D236" s="15"/>
      <c r="E236" s="15"/>
      <c r="F236" s="15"/>
      <c r="G236" s="15"/>
      <c r="H236" s="15"/>
      <c r="I236" s="15"/>
      <c r="J236" s="15"/>
      <c r="K236" s="15"/>
      <c r="L236" s="15"/>
      <c r="M236" s="15"/>
      <c r="N236" s="15"/>
      <c r="O236" s="15"/>
      <c r="P236" s="15"/>
      <c r="Q236" s="15"/>
      <c r="R236" s="15"/>
      <c r="S236" s="15"/>
      <c r="T236" s="15"/>
      <c r="U236" s="15"/>
      <c r="V236" s="15"/>
      <c r="W236" s="15"/>
      <c r="X236" s="15"/>
    </row>
    <row r="237" ht="15.75" customHeight="1">
      <c r="A237" s="15"/>
      <c r="B237" s="15"/>
      <c r="C237" s="13"/>
      <c r="D237" s="15"/>
      <c r="E237" s="15"/>
      <c r="F237" s="15"/>
      <c r="G237" s="15"/>
      <c r="H237" s="15"/>
      <c r="I237" s="15"/>
      <c r="J237" s="15"/>
      <c r="K237" s="15"/>
      <c r="L237" s="15"/>
      <c r="M237" s="15"/>
      <c r="N237" s="15"/>
      <c r="O237" s="15"/>
      <c r="P237" s="15"/>
      <c r="Q237" s="15"/>
      <c r="R237" s="15"/>
      <c r="S237" s="15"/>
      <c r="T237" s="15"/>
      <c r="U237" s="15"/>
      <c r="V237" s="15"/>
      <c r="W237" s="15"/>
      <c r="X237" s="15"/>
    </row>
    <row r="238" ht="15.75" customHeight="1">
      <c r="A238" s="15"/>
      <c r="B238" s="15"/>
      <c r="C238" s="13"/>
      <c r="D238" s="15"/>
      <c r="E238" s="15"/>
      <c r="F238" s="15"/>
      <c r="G238" s="15"/>
      <c r="H238" s="15"/>
      <c r="I238" s="15"/>
      <c r="J238" s="15"/>
      <c r="K238" s="15"/>
      <c r="L238" s="15"/>
      <c r="M238" s="15"/>
      <c r="N238" s="15"/>
      <c r="O238" s="15"/>
      <c r="P238" s="15"/>
      <c r="Q238" s="15"/>
      <c r="R238" s="15"/>
      <c r="S238" s="15"/>
      <c r="T238" s="15"/>
      <c r="U238" s="15"/>
      <c r="V238" s="15"/>
      <c r="W238" s="15"/>
      <c r="X238" s="15"/>
    </row>
    <row r="239" ht="15.75" customHeight="1">
      <c r="A239" s="15"/>
      <c r="B239" s="15"/>
      <c r="C239" s="13"/>
      <c r="D239" s="15"/>
      <c r="E239" s="15"/>
      <c r="F239" s="15"/>
      <c r="G239" s="15"/>
      <c r="H239" s="15"/>
      <c r="I239" s="15"/>
      <c r="J239" s="15"/>
      <c r="K239" s="15"/>
      <c r="L239" s="15"/>
      <c r="M239" s="15"/>
      <c r="N239" s="15"/>
      <c r="O239" s="15"/>
      <c r="P239" s="15"/>
      <c r="Q239" s="15"/>
      <c r="R239" s="15"/>
      <c r="S239" s="15"/>
      <c r="T239" s="15"/>
      <c r="U239" s="15"/>
      <c r="V239" s="15"/>
      <c r="W239" s="15"/>
      <c r="X239" s="15"/>
    </row>
    <row r="240" ht="15.75" customHeight="1">
      <c r="A240" s="15"/>
      <c r="B240" s="15"/>
      <c r="C240" s="13"/>
      <c r="D240" s="15"/>
      <c r="E240" s="15"/>
      <c r="F240" s="15"/>
      <c r="G240" s="15"/>
      <c r="H240" s="15"/>
      <c r="I240" s="15"/>
      <c r="J240" s="15"/>
      <c r="K240" s="15"/>
      <c r="L240" s="15"/>
      <c r="M240" s="15"/>
      <c r="N240" s="15"/>
      <c r="O240" s="15"/>
      <c r="P240" s="15"/>
      <c r="Q240" s="15"/>
      <c r="R240" s="15"/>
      <c r="S240" s="15"/>
      <c r="T240" s="15"/>
      <c r="U240" s="15"/>
      <c r="V240" s="15"/>
      <c r="W240" s="15"/>
      <c r="X240" s="15"/>
    </row>
    <row r="241" ht="15.75" customHeight="1">
      <c r="A241" s="15"/>
      <c r="B241" s="15"/>
      <c r="C241" s="13"/>
      <c r="D241" s="15"/>
      <c r="E241" s="15"/>
      <c r="F241" s="15"/>
      <c r="G241" s="15"/>
      <c r="H241" s="15"/>
      <c r="I241" s="15"/>
      <c r="J241" s="15"/>
      <c r="K241" s="15"/>
      <c r="L241" s="15"/>
      <c r="M241" s="15"/>
      <c r="N241" s="15"/>
      <c r="O241" s="15"/>
      <c r="P241" s="15"/>
      <c r="Q241" s="15"/>
      <c r="R241" s="15"/>
      <c r="S241" s="15"/>
      <c r="T241" s="15"/>
      <c r="U241" s="15"/>
      <c r="V241" s="15"/>
      <c r="W241" s="15"/>
      <c r="X241" s="15"/>
    </row>
    <row r="242" ht="15.75" customHeight="1">
      <c r="A242" s="15"/>
      <c r="B242" s="15"/>
      <c r="C242" s="13"/>
      <c r="D242" s="15"/>
      <c r="E242" s="15"/>
      <c r="F242" s="15"/>
      <c r="G242" s="15"/>
      <c r="H242" s="15"/>
      <c r="I242" s="15"/>
      <c r="J242" s="15"/>
      <c r="K242" s="15"/>
      <c r="L242" s="15"/>
      <c r="M242" s="15"/>
      <c r="N242" s="15"/>
      <c r="O242" s="15"/>
      <c r="P242" s="15"/>
      <c r="Q242" s="15"/>
      <c r="R242" s="15"/>
      <c r="S242" s="15"/>
      <c r="T242" s="15"/>
      <c r="U242" s="15"/>
      <c r="V242" s="15"/>
      <c r="W242" s="15"/>
      <c r="X242" s="15"/>
    </row>
    <row r="243" ht="15.75" customHeight="1">
      <c r="A243" s="15"/>
      <c r="B243" s="15"/>
      <c r="C243" s="13"/>
      <c r="D243" s="15"/>
      <c r="E243" s="15"/>
      <c r="F243" s="15"/>
      <c r="G243" s="15"/>
      <c r="H243" s="15"/>
      <c r="I243" s="15"/>
      <c r="J243" s="15"/>
      <c r="K243" s="15"/>
      <c r="L243" s="15"/>
      <c r="M243" s="15"/>
      <c r="N243" s="15"/>
      <c r="O243" s="15"/>
      <c r="P243" s="15"/>
      <c r="Q243" s="15"/>
      <c r="R243" s="15"/>
      <c r="S243" s="15"/>
      <c r="T243" s="15"/>
      <c r="U243" s="15"/>
      <c r="V243" s="15"/>
      <c r="W243" s="15"/>
      <c r="X243" s="15"/>
    </row>
    <row r="244" ht="15.75" customHeight="1">
      <c r="A244" s="15"/>
      <c r="B244" s="15"/>
      <c r="C244" s="13"/>
      <c r="D244" s="15"/>
      <c r="E244" s="15"/>
      <c r="F244" s="15"/>
      <c r="G244" s="15"/>
      <c r="H244" s="15"/>
      <c r="I244" s="15"/>
      <c r="J244" s="15"/>
      <c r="K244" s="15"/>
      <c r="L244" s="15"/>
      <c r="M244" s="15"/>
      <c r="N244" s="15"/>
      <c r="O244" s="15"/>
      <c r="P244" s="15"/>
      <c r="Q244" s="15"/>
      <c r="R244" s="15"/>
      <c r="S244" s="15"/>
      <c r="T244" s="15"/>
      <c r="U244" s="15"/>
      <c r="V244" s="15"/>
      <c r="W244" s="15"/>
      <c r="X244" s="15"/>
    </row>
    <row r="245" ht="15.75" customHeight="1">
      <c r="A245" s="15"/>
      <c r="B245" s="15"/>
      <c r="C245" s="13"/>
      <c r="D245" s="15"/>
      <c r="E245" s="15"/>
      <c r="F245" s="15"/>
      <c r="G245" s="15"/>
      <c r="H245" s="15"/>
      <c r="I245" s="15"/>
      <c r="J245" s="15"/>
      <c r="K245" s="15"/>
      <c r="L245" s="15"/>
      <c r="M245" s="15"/>
      <c r="N245" s="15"/>
      <c r="O245" s="15"/>
      <c r="P245" s="15"/>
      <c r="Q245" s="15"/>
      <c r="R245" s="15"/>
      <c r="S245" s="15"/>
      <c r="T245" s="15"/>
      <c r="U245" s="15"/>
      <c r="V245" s="15"/>
      <c r="W245" s="15"/>
      <c r="X245" s="15"/>
    </row>
    <row r="246" ht="15.75" customHeight="1">
      <c r="A246" s="15"/>
      <c r="B246" s="15"/>
      <c r="C246" s="13"/>
      <c r="D246" s="15"/>
      <c r="E246" s="15"/>
      <c r="F246" s="15"/>
      <c r="G246" s="15"/>
      <c r="H246" s="15"/>
      <c r="I246" s="15"/>
      <c r="J246" s="15"/>
      <c r="K246" s="15"/>
      <c r="L246" s="15"/>
      <c r="M246" s="15"/>
      <c r="N246" s="15"/>
      <c r="O246" s="15"/>
      <c r="P246" s="15"/>
      <c r="Q246" s="15"/>
      <c r="R246" s="15"/>
      <c r="S246" s="15"/>
      <c r="T246" s="15"/>
      <c r="U246" s="15"/>
      <c r="V246" s="15"/>
      <c r="W246" s="15"/>
      <c r="X246" s="15"/>
    </row>
    <row r="247" ht="15.75" customHeight="1">
      <c r="A247" s="15"/>
      <c r="B247" s="15"/>
      <c r="C247" s="13"/>
      <c r="D247" s="15"/>
      <c r="E247" s="15"/>
      <c r="F247" s="15"/>
      <c r="G247" s="15"/>
      <c r="H247" s="15"/>
      <c r="I247" s="15"/>
      <c r="J247" s="15"/>
      <c r="K247" s="15"/>
      <c r="L247" s="15"/>
      <c r="M247" s="15"/>
      <c r="N247" s="15"/>
      <c r="O247" s="15"/>
      <c r="P247" s="15"/>
      <c r="Q247" s="15"/>
      <c r="R247" s="15"/>
      <c r="S247" s="15"/>
      <c r="T247" s="15"/>
      <c r="U247" s="15"/>
      <c r="V247" s="15"/>
      <c r="W247" s="15"/>
      <c r="X247" s="15"/>
    </row>
    <row r="248" ht="15.75" customHeight="1">
      <c r="A248" s="15"/>
      <c r="B248" s="15"/>
      <c r="C248" s="13"/>
      <c r="D248" s="15"/>
      <c r="E248" s="15"/>
      <c r="F248" s="15"/>
      <c r="G248" s="15"/>
      <c r="H248" s="15"/>
      <c r="I248" s="15"/>
      <c r="J248" s="15"/>
      <c r="K248" s="15"/>
      <c r="L248" s="15"/>
      <c r="M248" s="15"/>
      <c r="N248" s="15"/>
      <c r="O248" s="15"/>
      <c r="P248" s="15"/>
      <c r="Q248" s="15"/>
      <c r="R248" s="15"/>
      <c r="S248" s="15"/>
      <c r="T248" s="15"/>
      <c r="U248" s="15"/>
      <c r="V248" s="15"/>
      <c r="W248" s="15"/>
      <c r="X248" s="15"/>
    </row>
    <row r="249" ht="15.75" customHeight="1">
      <c r="A249" s="15"/>
      <c r="B249" s="15"/>
      <c r="C249" s="13"/>
      <c r="D249" s="15"/>
      <c r="E249" s="15"/>
      <c r="F249" s="15"/>
      <c r="G249" s="15"/>
      <c r="H249" s="15"/>
      <c r="I249" s="15"/>
      <c r="J249" s="15"/>
      <c r="K249" s="15"/>
      <c r="L249" s="15"/>
      <c r="M249" s="15"/>
      <c r="N249" s="15"/>
      <c r="O249" s="15"/>
      <c r="P249" s="15"/>
      <c r="Q249" s="15"/>
      <c r="R249" s="15"/>
      <c r="S249" s="15"/>
      <c r="T249" s="15"/>
      <c r="U249" s="15"/>
      <c r="V249" s="15"/>
      <c r="W249" s="15"/>
      <c r="X249" s="15"/>
    </row>
    <row r="250" ht="15.75" customHeight="1">
      <c r="A250" s="15"/>
      <c r="B250" s="15"/>
      <c r="C250" s="13"/>
      <c r="D250" s="15"/>
      <c r="E250" s="15"/>
      <c r="F250" s="15"/>
      <c r="G250" s="15"/>
      <c r="H250" s="15"/>
      <c r="I250" s="15"/>
      <c r="J250" s="15"/>
      <c r="K250" s="15"/>
      <c r="L250" s="15"/>
      <c r="M250" s="15"/>
      <c r="N250" s="15"/>
      <c r="O250" s="15"/>
      <c r="P250" s="15"/>
      <c r="Q250" s="15"/>
      <c r="R250" s="15"/>
      <c r="S250" s="15"/>
      <c r="T250" s="15"/>
      <c r="U250" s="15"/>
      <c r="V250" s="15"/>
      <c r="W250" s="15"/>
      <c r="X250" s="15"/>
    </row>
    <row r="251" ht="15.75" customHeight="1">
      <c r="A251" s="15"/>
      <c r="B251" s="15"/>
      <c r="C251" s="13"/>
      <c r="D251" s="15"/>
      <c r="E251" s="15"/>
      <c r="F251" s="15"/>
      <c r="G251" s="15"/>
      <c r="H251" s="15"/>
      <c r="I251" s="15"/>
      <c r="J251" s="15"/>
      <c r="K251" s="15"/>
      <c r="L251" s="15"/>
      <c r="M251" s="15"/>
      <c r="N251" s="15"/>
      <c r="O251" s="15"/>
      <c r="P251" s="15"/>
      <c r="Q251" s="15"/>
      <c r="R251" s="15"/>
      <c r="S251" s="15"/>
      <c r="T251" s="15"/>
      <c r="U251" s="15"/>
      <c r="V251" s="15"/>
      <c r="W251" s="15"/>
      <c r="X251" s="15"/>
    </row>
    <row r="252" ht="15.75" customHeight="1">
      <c r="A252" s="15"/>
      <c r="B252" s="15"/>
      <c r="C252" s="13"/>
      <c r="D252" s="15"/>
      <c r="E252" s="15"/>
      <c r="F252" s="15"/>
      <c r="G252" s="15"/>
      <c r="H252" s="15"/>
      <c r="I252" s="15"/>
      <c r="J252" s="15"/>
      <c r="K252" s="15"/>
      <c r="L252" s="15"/>
      <c r="M252" s="15"/>
      <c r="N252" s="15"/>
      <c r="O252" s="15"/>
      <c r="P252" s="15"/>
      <c r="Q252" s="15"/>
      <c r="R252" s="15"/>
      <c r="S252" s="15"/>
      <c r="T252" s="15"/>
      <c r="U252" s="15"/>
      <c r="V252" s="15"/>
      <c r="W252" s="15"/>
      <c r="X252" s="15"/>
    </row>
    <row r="253" ht="15.75" customHeight="1">
      <c r="A253" s="15"/>
      <c r="B253" s="15"/>
      <c r="C253" s="13"/>
      <c r="D253" s="15"/>
      <c r="E253" s="15"/>
      <c r="F253" s="15"/>
      <c r="G253" s="15"/>
      <c r="H253" s="15"/>
      <c r="I253" s="15"/>
      <c r="J253" s="15"/>
      <c r="K253" s="15"/>
      <c r="L253" s="15"/>
      <c r="M253" s="15"/>
      <c r="N253" s="15"/>
      <c r="O253" s="15"/>
      <c r="P253" s="15"/>
      <c r="Q253" s="15"/>
      <c r="R253" s="15"/>
      <c r="S253" s="15"/>
      <c r="T253" s="15"/>
      <c r="U253" s="15"/>
      <c r="V253" s="15"/>
      <c r="W253" s="15"/>
      <c r="X253" s="15"/>
    </row>
    <row r="254" ht="15.75" customHeight="1">
      <c r="A254" s="15"/>
      <c r="B254" s="15"/>
      <c r="C254" s="13"/>
      <c r="D254" s="15"/>
      <c r="E254" s="15"/>
      <c r="F254" s="15"/>
      <c r="G254" s="15"/>
      <c r="H254" s="15"/>
      <c r="I254" s="15"/>
      <c r="J254" s="15"/>
      <c r="K254" s="15"/>
      <c r="L254" s="15"/>
      <c r="M254" s="15"/>
      <c r="N254" s="15"/>
      <c r="O254" s="15"/>
      <c r="P254" s="15"/>
      <c r="Q254" s="15"/>
      <c r="R254" s="15"/>
      <c r="S254" s="15"/>
      <c r="T254" s="15"/>
      <c r="U254" s="15"/>
      <c r="V254" s="15"/>
      <c r="W254" s="15"/>
      <c r="X254" s="15"/>
    </row>
    <row r="255" ht="15.75" customHeight="1">
      <c r="A255" s="15"/>
      <c r="B255" s="15"/>
      <c r="C255" s="13"/>
      <c r="D255" s="15"/>
      <c r="E255" s="15"/>
      <c r="F255" s="15"/>
      <c r="G255" s="15"/>
      <c r="H255" s="15"/>
      <c r="I255" s="15"/>
      <c r="J255" s="15"/>
      <c r="K255" s="15"/>
      <c r="L255" s="15"/>
      <c r="M255" s="15"/>
      <c r="N255" s="15"/>
      <c r="O255" s="15"/>
      <c r="P255" s="15"/>
      <c r="Q255" s="15"/>
      <c r="R255" s="15"/>
      <c r="S255" s="15"/>
      <c r="T255" s="15"/>
      <c r="U255" s="15"/>
      <c r="V255" s="15"/>
      <c r="W255" s="15"/>
      <c r="X255" s="15"/>
    </row>
    <row r="256" ht="15.75" customHeight="1">
      <c r="A256" s="15"/>
      <c r="B256" s="15"/>
      <c r="C256" s="13"/>
      <c r="D256" s="15"/>
      <c r="E256" s="15"/>
      <c r="F256" s="15"/>
      <c r="G256" s="15"/>
      <c r="H256" s="15"/>
      <c r="I256" s="15"/>
      <c r="J256" s="15"/>
      <c r="K256" s="15"/>
      <c r="L256" s="15"/>
      <c r="M256" s="15"/>
      <c r="N256" s="15"/>
      <c r="O256" s="15"/>
      <c r="P256" s="15"/>
      <c r="Q256" s="15"/>
      <c r="R256" s="15"/>
      <c r="S256" s="15"/>
      <c r="T256" s="15"/>
      <c r="U256" s="15"/>
      <c r="V256" s="15"/>
      <c r="W256" s="15"/>
      <c r="X256" s="15"/>
    </row>
    <row r="257" ht="15.75" customHeight="1">
      <c r="A257" s="15"/>
      <c r="B257" s="15"/>
      <c r="C257" s="13"/>
      <c r="D257" s="15"/>
      <c r="E257" s="15"/>
      <c r="F257" s="15"/>
      <c r="G257" s="15"/>
      <c r="H257" s="15"/>
      <c r="I257" s="15"/>
      <c r="J257" s="15"/>
      <c r="K257" s="15"/>
      <c r="L257" s="15"/>
      <c r="M257" s="15"/>
      <c r="N257" s="15"/>
      <c r="O257" s="15"/>
      <c r="P257" s="15"/>
      <c r="Q257" s="15"/>
      <c r="R257" s="15"/>
      <c r="S257" s="15"/>
      <c r="T257" s="15"/>
      <c r="U257" s="15"/>
      <c r="V257" s="15"/>
      <c r="W257" s="15"/>
      <c r="X257" s="15"/>
    </row>
    <row r="258" ht="15.75" customHeight="1">
      <c r="A258" s="15"/>
      <c r="B258" s="15"/>
      <c r="C258" s="13"/>
      <c r="D258" s="15"/>
      <c r="E258" s="15"/>
      <c r="F258" s="15"/>
      <c r="G258" s="15"/>
      <c r="H258" s="15"/>
      <c r="I258" s="15"/>
      <c r="J258" s="15"/>
      <c r="K258" s="15"/>
      <c r="L258" s="15"/>
      <c r="M258" s="15"/>
      <c r="N258" s="15"/>
      <c r="O258" s="15"/>
      <c r="P258" s="15"/>
      <c r="Q258" s="15"/>
      <c r="R258" s="15"/>
      <c r="S258" s="15"/>
      <c r="T258" s="15"/>
      <c r="U258" s="15"/>
      <c r="V258" s="15"/>
      <c r="W258" s="15"/>
      <c r="X258" s="15"/>
    </row>
    <row r="259" ht="15.75" customHeight="1">
      <c r="A259" s="15"/>
      <c r="B259" s="15"/>
      <c r="C259" s="13"/>
      <c r="D259" s="15"/>
      <c r="E259" s="15"/>
      <c r="F259" s="15"/>
      <c r="G259" s="15"/>
      <c r="H259" s="15"/>
      <c r="I259" s="15"/>
      <c r="J259" s="15"/>
      <c r="K259" s="15"/>
      <c r="L259" s="15"/>
      <c r="M259" s="15"/>
      <c r="N259" s="15"/>
      <c r="O259" s="15"/>
      <c r="P259" s="15"/>
      <c r="Q259" s="15"/>
      <c r="R259" s="15"/>
      <c r="S259" s="15"/>
      <c r="T259" s="15"/>
      <c r="U259" s="15"/>
      <c r="V259" s="15"/>
      <c r="W259" s="15"/>
      <c r="X259" s="15"/>
    </row>
    <row r="260" ht="15.75" customHeight="1">
      <c r="A260" s="15"/>
      <c r="B260" s="15"/>
      <c r="C260" s="13"/>
      <c r="D260" s="15"/>
      <c r="E260" s="15"/>
      <c r="F260" s="15"/>
      <c r="G260" s="15"/>
      <c r="H260" s="15"/>
      <c r="I260" s="15"/>
      <c r="J260" s="15"/>
      <c r="K260" s="15"/>
      <c r="L260" s="15"/>
      <c r="M260" s="15"/>
      <c r="N260" s="15"/>
      <c r="O260" s="15"/>
      <c r="P260" s="15"/>
      <c r="Q260" s="15"/>
      <c r="R260" s="15"/>
      <c r="S260" s="15"/>
      <c r="T260" s="15"/>
      <c r="U260" s="15"/>
      <c r="V260" s="15"/>
      <c r="W260" s="15"/>
      <c r="X260" s="15"/>
    </row>
    <row r="261" ht="15.75" customHeight="1">
      <c r="A261" s="15"/>
      <c r="B261" s="15"/>
      <c r="C261" s="13"/>
      <c r="D261" s="15"/>
      <c r="E261" s="15"/>
      <c r="F261" s="15"/>
      <c r="G261" s="15"/>
      <c r="H261" s="15"/>
      <c r="I261" s="15"/>
      <c r="J261" s="15"/>
      <c r="K261" s="15"/>
      <c r="L261" s="15"/>
      <c r="M261" s="15"/>
      <c r="N261" s="15"/>
      <c r="O261" s="15"/>
      <c r="P261" s="15"/>
      <c r="Q261" s="15"/>
      <c r="R261" s="15"/>
      <c r="S261" s="15"/>
      <c r="T261" s="15"/>
      <c r="U261" s="15"/>
      <c r="V261" s="15"/>
      <c r="W261" s="15"/>
      <c r="X261" s="15"/>
    </row>
    <row r="262" ht="15.75" customHeight="1">
      <c r="A262" s="15"/>
      <c r="B262" s="15"/>
      <c r="C262" s="13"/>
      <c r="D262" s="15"/>
      <c r="E262" s="15"/>
      <c r="F262" s="15"/>
      <c r="G262" s="15"/>
      <c r="H262" s="15"/>
      <c r="I262" s="15"/>
      <c r="J262" s="15"/>
      <c r="K262" s="15"/>
      <c r="L262" s="15"/>
      <c r="M262" s="15"/>
      <c r="N262" s="15"/>
      <c r="O262" s="15"/>
      <c r="P262" s="15"/>
      <c r="Q262" s="15"/>
      <c r="R262" s="15"/>
      <c r="S262" s="15"/>
      <c r="T262" s="15"/>
      <c r="U262" s="15"/>
      <c r="V262" s="15"/>
      <c r="W262" s="15"/>
      <c r="X262" s="15"/>
    </row>
    <row r="263" ht="15.75" customHeight="1">
      <c r="A263" s="15"/>
      <c r="B263" s="15"/>
      <c r="C263" s="13"/>
      <c r="D263" s="15"/>
      <c r="E263" s="15"/>
      <c r="F263" s="15"/>
      <c r="G263" s="15"/>
      <c r="H263" s="15"/>
      <c r="I263" s="15"/>
      <c r="J263" s="15"/>
      <c r="K263" s="15"/>
      <c r="L263" s="15"/>
      <c r="M263" s="15"/>
      <c r="N263" s="15"/>
      <c r="O263" s="15"/>
      <c r="P263" s="15"/>
      <c r="Q263" s="15"/>
      <c r="R263" s="15"/>
      <c r="S263" s="15"/>
      <c r="T263" s="15"/>
      <c r="U263" s="15"/>
      <c r="V263" s="15"/>
      <c r="W263" s="15"/>
      <c r="X263" s="15"/>
    </row>
    <row r="264" ht="15.75" customHeight="1">
      <c r="A264" s="15"/>
      <c r="B264" s="15"/>
      <c r="C264" s="13"/>
      <c r="D264" s="15"/>
      <c r="E264" s="15"/>
      <c r="F264" s="15"/>
      <c r="G264" s="15"/>
      <c r="H264" s="15"/>
      <c r="I264" s="15"/>
      <c r="J264" s="15"/>
      <c r="K264" s="15"/>
      <c r="L264" s="15"/>
      <c r="M264" s="15"/>
      <c r="N264" s="15"/>
      <c r="O264" s="15"/>
      <c r="P264" s="15"/>
      <c r="Q264" s="15"/>
      <c r="R264" s="15"/>
      <c r="S264" s="15"/>
      <c r="T264" s="15"/>
      <c r="U264" s="15"/>
      <c r="V264" s="15"/>
      <c r="W264" s="15"/>
      <c r="X264" s="15"/>
    </row>
    <row r="265" ht="15.75" customHeight="1">
      <c r="A265" s="15"/>
      <c r="B265" s="15"/>
      <c r="C265" s="13"/>
      <c r="D265" s="15"/>
      <c r="E265" s="15"/>
      <c r="F265" s="15"/>
      <c r="G265" s="15"/>
      <c r="H265" s="15"/>
      <c r="I265" s="15"/>
      <c r="J265" s="15"/>
      <c r="K265" s="15"/>
      <c r="L265" s="15"/>
      <c r="M265" s="15"/>
      <c r="N265" s="15"/>
      <c r="O265" s="15"/>
      <c r="P265" s="15"/>
      <c r="Q265" s="15"/>
      <c r="R265" s="15"/>
      <c r="S265" s="15"/>
      <c r="T265" s="15"/>
      <c r="U265" s="15"/>
      <c r="V265" s="15"/>
      <c r="W265" s="15"/>
      <c r="X265" s="15"/>
    </row>
    <row r="266" ht="15.75" customHeight="1">
      <c r="A266" s="15"/>
      <c r="B266" s="15"/>
      <c r="C266" s="13"/>
      <c r="D266" s="15"/>
      <c r="E266" s="15"/>
      <c r="F266" s="15"/>
      <c r="G266" s="15"/>
      <c r="H266" s="15"/>
      <c r="I266" s="15"/>
      <c r="J266" s="15"/>
      <c r="K266" s="15"/>
      <c r="L266" s="15"/>
      <c r="M266" s="15"/>
      <c r="N266" s="15"/>
      <c r="O266" s="15"/>
      <c r="P266" s="15"/>
      <c r="Q266" s="15"/>
      <c r="R266" s="15"/>
      <c r="S266" s="15"/>
      <c r="T266" s="15"/>
      <c r="U266" s="15"/>
      <c r="V266" s="15"/>
      <c r="W266" s="15"/>
      <c r="X266" s="15"/>
    </row>
    <row r="267" ht="15.75" customHeight="1">
      <c r="A267" s="15"/>
      <c r="B267" s="15"/>
      <c r="C267" s="13"/>
      <c r="D267" s="15"/>
      <c r="E267" s="15"/>
      <c r="F267" s="15"/>
      <c r="G267" s="15"/>
      <c r="H267" s="15"/>
      <c r="I267" s="15"/>
      <c r="J267" s="15"/>
      <c r="K267" s="15"/>
      <c r="L267" s="15"/>
      <c r="M267" s="15"/>
      <c r="N267" s="15"/>
      <c r="O267" s="15"/>
      <c r="P267" s="15"/>
      <c r="Q267" s="15"/>
      <c r="R267" s="15"/>
      <c r="S267" s="15"/>
      <c r="T267" s="15"/>
      <c r="U267" s="15"/>
      <c r="V267" s="15"/>
      <c r="W267" s="15"/>
      <c r="X267" s="15"/>
    </row>
    <row r="268" ht="15.75" customHeight="1">
      <c r="A268" s="15"/>
      <c r="B268" s="15"/>
      <c r="C268" s="13"/>
      <c r="D268" s="15"/>
      <c r="E268" s="15"/>
      <c r="F268" s="15"/>
      <c r="G268" s="15"/>
      <c r="H268" s="15"/>
      <c r="I268" s="15"/>
      <c r="J268" s="15"/>
      <c r="K268" s="15"/>
      <c r="L268" s="15"/>
      <c r="M268" s="15"/>
      <c r="N268" s="15"/>
      <c r="O268" s="15"/>
      <c r="P268" s="15"/>
      <c r="Q268" s="15"/>
      <c r="R268" s="15"/>
      <c r="S268" s="15"/>
      <c r="T268" s="15"/>
      <c r="U268" s="15"/>
      <c r="V268" s="15"/>
      <c r="W268" s="15"/>
      <c r="X268" s="15"/>
    </row>
    <row r="269" ht="15.75" customHeight="1">
      <c r="A269" s="15"/>
      <c r="B269" s="15"/>
      <c r="C269" s="13"/>
      <c r="D269" s="15"/>
      <c r="E269" s="15"/>
      <c r="F269" s="15"/>
      <c r="G269" s="15"/>
      <c r="H269" s="15"/>
      <c r="I269" s="15"/>
      <c r="J269" s="15"/>
      <c r="K269" s="15"/>
      <c r="L269" s="15"/>
      <c r="M269" s="15"/>
      <c r="N269" s="15"/>
      <c r="O269" s="15"/>
      <c r="P269" s="15"/>
      <c r="Q269" s="15"/>
      <c r="R269" s="15"/>
      <c r="S269" s="15"/>
      <c r="T269" s="15"/>
      <c r="U269" s="15"/>
      <c r="V269" s="15"/>
      <c r="W269" s="15"/>
      <c r="X269" s="15"/>
    </row>
    <row r="270" ht="15.75" customHeight="1">
      <c r="A270" s="15"/>
      <c r="B270" s="15"/>
      <c r="C270" s="13"/>
      <c r="D270" s="15"/>
      <c r="E270" s="15"/>
      <c r="F270" s="15"/>
      <c r="G270" s="15"/>
      <c r="H270" s="15"/>
      <c r="I270" s="15"/>
      <c r="J270" s="15"/>
      <c r="K270" s="15"/>
      <c r="L270" s="15"/>
      <c r="M270" s="15"/>
      <c r="N270" s="15"/>
      <c r="O270" s="15"/>
      <c r="P270" s="15"/>
      <c r="Q270" s="15"/>
      <c r="R270" s="15"/>
      <c r="S270" s="15"/>
      <c r="T270" s="15"/>
      <c r="U270" s="15"/>
      <c r="V270" s="15"/>
      <c r="W270" s="15"/>
      <c r="X270" s="15"/>
    </row>
    <row r="271" ht="15.75" customHeight="1">
      <c r="A271" s="15"/>
      <c r="B271" s="15"/>
      <c r="C271" s="13"/>
      <c r="D271" s="15"/>
      <c r="E271" s="15"/>
      <c r="F271" s="15"/>
      <c r="G271" s="15"/>
      <c r="H271" s="15"/>
      <c r="I271" s="15"/>
      <c r="J271" s="15"/>
      <c r="K271" s="15"/>
      <c r="L271" s="15"/>
      <c r="M271" s="15"/>
      <c r="N271" s="15"/>
      <c r="O271" s="15"/>
      <c r="P271" s="15"/>
      <c r="Q271" s="15"/>
      <c r="R271" s="15"/>
      <c r="S271" s="15"/>
      <c r="T271" s="15"/>
      <c r="U271" s="15"/>
      <c r="V271" s="15"/>
      <c r="W271" s="15"/>
      <c r="X271" s="15"/>
    </row>
    <row r="272" ht="15.75" customHeight="1">
      <c r="A272" s="15"/>
      <c r="B272" s="15"/>
      <c r="C272" s="13"/>
      <c r="D272" s="15"/>
      <c r="E272" s="15"/>
      <c r="F272" s="15"/>
      <c r="G272" s="15"/>
      <c r="H272" s="15"/>
      <c r="I272" s="15"/>
      <c r="J272" s="15"/>
      <c r="K272" s="15"/>
      <c r="L272" s="15"/>
      <c r="M272" s="15"/>
      <c r="N272" s="15"/>
      <c r="O272" s="15"/>
      <c r="P272" s="15"/>
      <c r="Q272" s="15"/>
      <c r="R272" s="15"/>
      <c r="S272" s="15"/>
      <c r="T272" s="15"/>
      <c r="U272" s="15"/>
      <c r="V272" s="15"/>
      <c r="W272" s="15"/>
      <c r="X272" s="15"/>
    </row>
    <row r="273" ht="15.75" customHeight="1">
      <c r="A273" s="15"/>
      <c r="B273" s="15"/>
      <c r="C273" s="13"/>
      <c r="D273" s="15"/>
      <c r="E273" s="15"/>
      <c r="F273" s="15"/>
      <c r="G273" s="15"/>
      <c r="H273" s="15"/>
      <c r="I273" s="15"/>
      <c r="J273" s="15"/>
      <c r="K273" s="15"/>
      <c r="L273" s="15"/>
      <c r="M273" s="15"/>
      <c r="N273" s="15"/>
      <c r="O273" s="15"/>
      <c r="P273" s="15"/>
      <c r="Q273" s="15"/>
      <c r="R273" s="15"/>
      <c r="S273" s="15"/>
      <c r="T273" s="15"/>
      <c r="U273" s="15"/>
      <c r="V273" s="15"/>
      <c r="W273" s="15"/>
      <c r="X273" s="15"/>
    </row>
    <row r="274" ht="15.75" customHeight="1">
      <c r="A274" s="15"/>
      <c r="B274" s="15"/>
      <c r="C274" s="13"/>
      <c r="D274" s="15"/>
      <c r="E274" s="15"/>
      <c r="F274" s="15"/>
      <c r="G274" s="15"/>
      <c r="H274" s="15"/>
      <c r="I274" s="15"/>
      <c r="J274" s="15"/>
      <c r="K274" s="15"/>
      <c r="L274" s="15"/>
      <c r="M274" s="15"/>
      <c r="N274" s="15"/>
      <c r="O274" s="15"/>
      <c r="P274" s="15"/>
      <c r="Q274" s="15"/>
      <c r="R274" s="15"/>
      <c r="S274" s="15"/>
      <c r="T274" s="15"/>
      <c r="U274" s="15"/>
      <c r="V274" s="15"/>
      <c r="W274" s="15"/>
      <c r="X274" s="15"/>
    </row>
    <row r="275" ht="15.75" customHeight="1">
      <c r="A275" s="15"/>
      <c r="B275" s="15"/>
      <c r="C275" s="13"/>
      <c r="D275" s="15"/>
      <c r="E275" s="15"/>
      <c r="F275" s="15"/>
      <c r="G275" s="15"/>
      <c r="H275" s="15"/>
      <c r="I275" s="15"/>
      <c r="J275" s="15"/>
      <c r="K275" s="15"/>
      <c r="L275" s="15"/>
      <c r="M275" s="15"/>
      <c r="N275" s="15"/>
      <c r="O275" s="15"/>
      <c r="P275" s="15"/>
      <c r="Q275" s="15"/>
      <c r="R275" s="15"/>
      <c r="S275" s="15"/>
      <c r="T275" s="15"/>
      <c r="U275" s="15"/>
      <c r="V275" s="15"/>
      <c r="W275" s="15"/>
      <c r="X275" s="15"/>
    </row>
    <row r="276" ht="15.75" customHeight="1">
      <c r="A276" s="15"/>
      <c r="B276" s="15"/>
      <c r="C276" s="13"/>
      <c r="D276" s="15"/>
      <c r="E276" s="15"/>
      <c r="F276" s="15"/>
      <c r="G276" s="15"/>
      <c r="H276" s="15"/>
      <c r="I276" s="15"/>
      <c r="J276" s="15"/>
      <c r="K276" s="15"/>
      <c r="L276" s="15"/>
      <c r="M276" s="15"/>
      <c r="N276" s="15"/>
      <c r="O276" s="15"/>
      <c r="P276" s="15"/>
      <c r="Q276" s="15"/>
      <c r="R276" s="15"/>
      <c r="S276" s="15"/>
      <c r="T276" s="15"/>
      <c r="U276" s="15"/>
      <c r="V276" s="15"/>
      <c r="W276" s="15"/>
      <c r="X276" s="15"/>
    </row>
    <row r="277" ht="15.75" customHeight="1">
      <c r="A277" s="15"/>
      <c r="B277" s="15"/>
      <c r="C277" s="13"/>
      <c r="D277" s="15"/>
      <c r="E277" s="15"/>
      <c r="F277" s="15"/>
      <c r="G277" s="15"/>
      <c r="H277" s="15"/>
      <c r="I277" s="15"/>
      <c r="J277" s="15"/>
      <c r="K277" s="15"/>
      <c r="L277" s="15"/>
      <c r="M277" s="15"/>
      <c r="N277" s="15"/>
      <c r="O277" s="15"/>
      <c r="P277" s="15"/>
      <c r="Q277" s="15"/>
      <c r="R277" s="15"/>
      <c r="S277" s="15"/>
      <c r="T277" s="15"/>
      <c r="U277" s="15"/>
      <c r="V277" s="15"/>
      <c r="W277" s="15"/>
      <c r="X277" s="15"/>
    </row>
    <row r="278" ht="15.75" customHeight="1">
      <c r="A278" s="15"/>
      <c r="B278" s="15"/>
      <c r="C278" s="13"/>
      <c r="D278" s="15"/>
      <c r="E278" s="15"/>
      <c r="F278" s="15"/>
      <c r="G278" s="15"/>
      <c r="H278" s="15"/>
      <c r="I278" s="15"/>
      <c r="J278" s="15"/>
      <c r="K278" s="15"/>
      <c r="L278" s="15"/>
      <c r="M278" s="15"/>
      <c r="N278" s="15"/>
      <c r="O278" s="15"/>
      <c r="P278" s="15"/>
      <c r="Q278" s="15"/>
      <c r="R278" s="15"/>
      <c r="S278" s="15"/>
      <c r="T278" s="15"/>
      <c r="U278" s="15"/>
      <c r="V278" s="15"/>
      <c r="W278" s="15"/>
      <c r="X278" s="15"/>
    </row>
    <row r="279" ht="15.75" customHeight="1">
      <c r="A279" s="15"/>
      <c r="B279" s="15"/>
      <c r="C279" s="13"/>
      <c r="D279" s="15"/>
      <c r="E279" s="15"/>
      <c r="F279" s="15"/>
      <c r="G279" s="15"/>
      <c r="H279" s="15"/>
      <c r="I279" s="15"/>
      <c r="J279" s="15"/>
      <c r="K279" s="15"/>
      <c r="L279" s="15"/>
      <c r="M279" s="15"/>
      <c r="N279" s="15"/>
      <c r="O279" s="15"/>
      <c r="P279" s="15"/>
      <c r="Q279" s="15"/>
      <c r="R279" s="15"/>
      <c r="S279" s="15"/>
      <c r="T279" s="15"/>
      <c r="U279" s="15"/>
      <c r="V279" s="15"/>
      <c r="W279" s="15"/>
      <c r="X279" s="15"/>
    </row>
    <row r="280" ht="15.75" customHeight="1">
      <c r="A280" s="15"/>
      <c r="B280" s="15"/>
      <c r="C280" s="13"/>
      <c r="D280" s="15"/>
      <c r="E280" s="15"/>
      <c r="F280" s="15"/>
      <c r="G280" s="15"/>
      <c r="H280" s="15"/>
      <c r="I280" s="15"/>
      <c r="J280" s="15"/>
      <c r="K280" s="15"/>
      <c r="L280" s="15"/>
      <c r="M280" s="15"/>
      <c r="N280" s="15"/>
      <c r="O280" s="15"/>
      <c r="P280" s="15"/>
      <c r="Q280" s="15"/>
      <c r="R280" s="15"/>
      <c r="S280" s="15"/>
      <c r="T280" s="15"/>
      <c r="U280" s="15"/>
      <c r="V280" s="15"/>
      <c r="W280" s="15"/>
      <c r="X280" s="15"/>
    </row>
    <row r="281" ht="15.75" customHeight="1">
      <c r="A281" s="15"/>
      <c r="B281" s="15"/>
      <c r="C281" s="13"/>
      <c r="D281" s="15"/>
      <c r="E281" s="15"/>
      <c r="F281" s="15"/>
      <c r="G281" s="15"/>
      <c r="H281" s="15"/>
      <c r="I281" s="15"/>
      <c r="J281" s="15"/>
      <c r="K281" s="15"/>
      <c r="L281" s="15"/>
      <c r="M281" s="15"/>
      <c r="N281" s="15"/>
      <c r="O281" s="15"/>
      <c r="P281" s="15"/>
      <c r="Q281" s="15"/>
      <c r="R281" s="15"/>
      <c r="S281" s="15"/>
      <c r="T281" s="15"/>
      <c r="U281" s="15"/>
      <c r="V281" s="15"/>
      <c r="W281" s="15"/>
      <c r="X281" s="15"/>
    </row>
    <row r="282" ht="15.75" customHeight="1">
      <c r="A282" s="15"/>
      <c r="B282" s="15"/>
      <c r="C282" s="13"/>
      <c r="D282" s="15"/>
      <c r="E282" s="15"/>
      <c r="F282" s="15"/>
      <c r="G282" s="15"/>
      <c r="H282" s="15"/>
      <c r="I282" s="15"/>
      <c r="J282" s="15"/>
      <c r="K282" s="15"/>
      <c r="L282" s="15"/>
      <c r="M282" s="15"/>
      <c r="N282" s="15"/>
      <c r="O282" s="15"/>
      <c r="P282" s="15"/>
      <c r="Q282" s="15"/>
      <c r="R282" s="15"/>
      <c r="S282" s="15"/>
      <c r="T282" s="15"/>
      <c r="U282" s="15"/>
      <c r="V282" s="15"/>
      <c r="W282" s="15"/>
      <c r="X282" s="15"/>
    </row>
    <row r="283" ht="15.75" customHeight="1">
      <c r="A283" s="15"/>
      <c r="B283" s="15"/>
      <c r="C283" s="13"/>
      <c r="D283" s="15"/>
      <c r="E283" s="15"/>
      <c r="F283" s="15"/>
      <c r="G283" s="15"/>
      <c r="H283" s="15"/>
      <c r="I283" s="15"/>
      <c r="J283" s="15"/>
      <c r="K283" s="15"/>
      <c r="L283" s="15"/>
      <c r="M283" s="15"/>
      <c r="N283" s="15"/>
      <c r="O283" s="15"/>
      <c r="P283" s="15"/>
      <c r="Q283" s="15"/>
      <c r="R283" s="15"/>
      <c r="S283" s="15"/>
      <c r="T283" s="15"/>
      <c r="U283" s="15"/>
      <c r="V283" s="15"/>
      <c r="W283" s="15"/>
      <c r="X283" s="15"/>
    </row>
    <row r="284" ht="15.75" customHeight="1">
      <c r="A284" s="15"/>
      <c r="B284" s="15"/>
      <c r="C284" s="13"/>
      <c r="D284" s="15"/>
      <c r="E284" s="15"/>
      <c r="F284" s="15"/>
      <c r="G284" s="15"/>
      <c r="H284" s="15"/>
      <c r="I284" s="15"/>
      <c r="J284" s="15"/>
      <c r="K284" s="15"/>
      <c r="L284" s="15"/>
      <c r="M284" s="15"/>
      <c r="N284" s="15"/>
      <c r="O284" s="15"/>
      <c r="P284" s="15"/>
      <c r="Q284" s="15"/>
      <c r="R284" s="15"/>
      <c r="S284" s="15"/>
      <c r="T284" s="15"/>
      <c r="U284" s="15"/>
      <c r="V284" s="15"/>
      <c r="W284" s="15"/>
      <c r="X284" s="15"/>
    </row>
    <row r="285" ht="15.75" customHeight="1">
      <c r="A285" s="15"/>
      <c r="B285" s="15"/>
      <c r="C285" s="13"/>
      <c r="D285" s="15"/>
      <c r="E285" s="15"/>
      <c r="F285" s="15"/>
      <c r="G285" s="15"/>
      <c r="H285" s="15"/>
      <c r="I285" s="15"/>
      <c r="J285" s="15"/>
      <c r="K285" s="15"/>
      <c r="L285" s="15"/>
      <c r="M285" s="15"/>
      <c r="N285" s="15"/>
      <c r="O285" s="15"/>
      <c r="P285" s="15"/>
      <c r="Q285" s="15"/>
      <c r="R285" s="15"/>
      <c r="S285" s="15"/>
      <c r="T285" s="15"/>
      <c r="U285" s="15"/>
      <c r="V285" s="15"/>
      <c r="W285" s="15"/>
      <c r="X285" s="15"/>
    </row>
    <row r="286" ht="15.75" customHeight="1">
      <c r="A286" s="15"/>
      <c r="B286" s="15"/>
      <c r="C286" s="13"/>
      <c r="D286" s="15"/>
      <c r="E286" s="15"/>
      <c r="F286" s="15"/>
      <c r="G286" s="15"/>
      <c r="H286" s="15"/>
      <c r="I286" s="15"/>
      <c r="J286" s="15"/>
      <c r="K286" s="15"/>
      <c r="L286" s="15"/>
      <c r="M286" s="15"/>
      <c r="N286" s="15"/>
      <c r="O286" s="15"/>
      <c r="P286" s="15"/>
      <c r="Q286" s="15"/>
      <c r="R286" s="15"/>
      <c r="S286" s="15"/>
      <c r="T286" s="15"/>
      <c r="U286" s="15"/>
      <c r="V286" s="15"/>
      <c r="W286" s="15"/>
      <c r="X286" s="15"/>
    </row>
    <row r="287" ht="15.75" customHeight="1">
      <c r="A287" s="15"/>
      <c r="B287" s="15"/>
      <c r="C287" s="13"/>
      <c r="D287" s="15"/>
      <c r="E287" s="15"/>
      <c r="F287" s="15"/>
      <c r="G287" s="15"/>
      <c r="H287" s="15"/>
      <c r="I287" s="15"/>
      <c r="J287" s="15"/>
      <c r="K287" s="15"/>
      <c r="L287" s="15"/>
      <c r="M287" s="15"/>
      <c r="N287" s="15"/>
      <c r="O287" s="15"/>
      <c r="P287" s="15"/>
      <c r="Q287" s="15"/>
      <c r="R287" s="15"/>
      <c r="S287" s="15"/>
      <c r="T287" s="15"/>
      <c r="U287" s="15"/>
      <c r="V287" s="15"/>
      <c r="W287" s="15"/>
      <c r="X287" s="15"/>
    </row>
    <row r="288" ht="15.75" customHeight="1">
      <c r="A288" s="15"/>
      <c r="B288" s="15"/>
      <c r="C288" s="13"/>
      <c r="D288" s="15"/>
      <c r="E288" s="15"/>
      <c r="F288" s="15"/>
      <c r="G288" s="15"/>
      <c r="H288" s="15"/>
      <c r="I288" s="15"/>
      <c r="J288" s="15"/>
      <c r="K288" s="15"/>
      <c r="L288" s="15"/>
      <c r="M288" s="15"/>
      <c r="N288" s="15"/>
      <c r="O288" s="15"/>
      <c r="P288" s="15"/>
      <c r="Q288" s="15"/>
      <c r="R288" s="15"/>
      <c r="S288" s="15"/>
      <c r="T288" s="15"/>
      <c r="U288" s="15"/>
      <c r="V288" s="15"/>
      <c r="W288" s="15"/>
      <c r="X288" s="15"/>
    </row>
    <row r="289" ht="15.75" customHeight="1">
      <c r="A289" s="15"/>
      <c r="B289" s="15"/>
      <c r="C289" s="13"/>
      <c r="D289" s="15"/>
      <c r="E289" s="15"/>
      <c r="F289" s="15"/>
      <c r="G289" s="15"/>
      <c r="H289" s="15"/>
      <c r="I289" s="15"/>
      <c r="J289" s="15"/>
      <c r="K289" s="15"/>
      <c r="L289" s="15"/>
      <c r="M289" s="15"/>
      <c r="N289" s="15"/>
      <c r="O289" s="15"/>
      <c r="P289" s="15"/>
      <c r="Q289" s="15"/>
      <c r="R289" s="15"/>
      <c r="S289" s="15"/>
      <c r="T289" s="15"/>
      <c r="U289" s="15"/>
      <c r="V289" s="15"/>
      <c r="W289" s="15"/>
      <c r="X289" s="15"/>
    </row>
    <row r="290" ht="15.75" customHeight="1">
      <c r="A290" s="15"/>
      <c r="B290" s="15"/>
      <c r="C290" s="13"/>
      <c r="D290" s="15"/>
      <c r="E290" s="15"/>
      <c r="F290" s="15"/>
      <c r="G290" s="15"/>
      <c r="H290" s="15"/>
      <c r="I290" s="15"/>
      <c r="J290" s="15"/>
      <c r="K290" s="15"/>
      <c r="L290" s="15"/>
      <c r="M290" s="15"/>
      <c r="N290" s="15"/>
      <c r="O290" s="15"/>
      <c r="P290" s="15"/>
      <c r="Q290" s="15"/>
      <c r="R290" s="15"/>
      <c r="S290" s="15"/>
      <c r="T290" s="15"/>
      <c r="U290" s="15"/>
      <c r="V290" s="15"/>
      <c r="W290" s="15"/>
      <c r="X290" s="15"/>
    </row>
    <row r="291" ht="15.75" customHeight="1">
      <c r="A291" s="15"/>
      <c r="B291" s="15"/>
      <c r="C291" s="13"/>
      <c r="D291" s="15"/>
      <c r="E291" s="15"/>
      <c r="F291" s="15"/>
      <c r="G291" s="15"/>
      <c r="H291" s="15"/>
      <c r="I291" s="15"/>
      <c r="J291" s="15"/>
      <c r="K291" s="15"/>
      <c r="L291" s="15"/>
      <c r="M291" s="15"/>
      <c r="N291" s="15"/>
      <c r="O291" s="15"/>
      <c r="P291" s="15"/>
      <c r="Q291" s="15"/>
      <c r="R291" s="15"/>
      <c r="S291" s="15"/>
      <c r="T291" s="15"/>
      <c r="U291" s="15"/>
      <c r="V291" s="15"/>
      <c r="W291" s="15"/>
      <c r="X291" s="15"/>
    </row>
    <row r="292" ht="15.75" customHeight="1">
      <c r="A292" s="15"/>
      <c r="B292" s="15"/>
      <c r="C292" s="13"/>
      <c r="D292" s="15"/>
      <c r="E292" s="15"/>
      <c r="F292" s="15"/>
      <c r="G292" s="15"/>
      <c r="H292" s="15"/>
      <c r="I292" s="15"/>
      <c r="J292" s="15"/>
      <c r="K292" s="15"/>
      <c r="L292" s="15"/>
      <c r="M292" s="15"/>
      <c r="N292" s="15"/>
      <c r="O292" s="15"/>
      <c r="P292" s="15"/>
      <c r="Q292" s="15"/>
      <c r="R292" s="15"/>
      <c r="S292" s="15"/>
      <c r="T292" s="15"/>
      <c r="U292" s="15"/>
      <c r="V292" s="15"/>
      <c r="W292" s="15"/>
      <c r="X292" s="15"/>
    </row>
    <row r="293" ht="15.75" customHeight="1">
      <c r="A293" s="15"/>
      <c r="B293" s="15"/>
      <c r="C293" s="13"/>
      <c r="D293" s="15"/>
      <c r="E293" s="15"/>
      <c r="F293" s="15"/>
      <c r="G293" s="15"/>
      <c r="H293" s="15"/>
      <c r="I293" s="15"/>
      <c r="J293" s="15"/>
      <c r="K293" s="15"/>
      <c r="L293" s="15"/>
      <c r="M293" s="15"/>
      <c r="N293" s="15"/>
      <c r="O293" s="15"/>
      <c r="P293" s="15"/>
      <c r="Q293" s="15"/>
      <c r="R293" s="15"/>
      <c r="S293" s="15"/>
      <c r="T293" s="15"/>
      <c r="U293" s="15"/>
      <c r="V293" s="15"/>
      <c r="W293" s="15"/>
      <c r="X293" s="15"/>
    </row>
    <row r="294" ht="15.75" customHeight="1">
      <c r="A294" s="15"/>
      <c r="B294" s="15"/>
      <c r="C294" s="13"/>
      <c r="D294" s="15"/>
      <c r="E294" s="15"/>
      <c r="F294" s="15"/>
      <c r="G294" s="15"/>
      <c r="H294" s="15"/>
      <c r="I294" s="15"/>
      <c r="J294" s="15"/>
      <c r="K294" s="15"/>
      <c r="L294" s="15"/>
      <c r="M294" s="15"/>
      <c r="N294" s="15"/>
      <c r="O294" s="15"/>
      <c r="P294" s="15"/>
      <c r="Q294" s="15"/>
      <c r="R294" s="15"/>
      <c r="S294" s="15"/>
      <c r="T294" s="15"/>
      <c r="U294" s="15"/>
      <c r="V294" s="15"/>
      <c r="W294" s="15"/>
      <c r="X294" s="15"/>
    </row>
    <row r="295" ht="15.75" customHeight="1">
      <c r="A295" s="15"/>
      <c r="B295" s="15"/>
      <c r="C295" s="13"/>
      <c r="D295" s="15"/>
      <c r="E295" s="15"/>
      <c r="F295" s="15"/>
      <c r="G295" s="15"/>
      <c r="H295" s="15"/>
      <c r="I295" s="15"/>
      <c r="J295" s="15"/>
      <c r="K295" s="15"/>
      <c r="L295" s="15"/>
      <c r="M295" s="15"/>
      <c r="N295" s="15"/>
      <c r="O295" s="15"/>
      <c r="P295" s="15"/>
      <c r="Q295" s="15"/>
      <c r="R295" s="15"/>
      <c r="S295" s="15"/>
      <c r="T295" s="15"/>
      <c r="U295" s="15"/>
      <c r="V295" s="15"/>
      <c r="W295" s="15"/>
      <c r="X295" s="15"/>
    </row>
    <row r="296" ht="15.75" customHeight="1">
      <c r="A296" s="15"/>
      <c r="B296" s="15"/>
      <c r="C296" s="13"/>
      <c r="D296" s="15"/>
      <c r="E296" s="15"/>
      <c r="F296" s="15"/>
      <c r="G296" s="15"/>
      <c r="H296" s="15"/>
      <c r="I296" s="15"/>
      <c r="J296" s="15"/>
      <c r="K296" s="15"/>
      <c r="L296" s="15"/>
      <c r="M296" s="15"/>
      <c r="N296" s="15"/>
      <c r="O296" s="15"/>
      <c r="P296" s="15"/>
      <c r="Q296" s="15"/>
      <c r="R296" s="15"/>
      <c r="S296" s="15"/>
      <c r="T296" s="15"/>
      <c r="U296" s="15"/>
      <c r="V296" s="15"/>
      <c r="W296" s="15"/>
      <c r="X296" s="15"/>
    </row>
    <row r="297" ht="15.75" customHeight="1">
      <c r="A297" s="15"/>
      <c r="B297" s="15"/>
      <c r="C297" s="13"/>
      <c r="D297" s="15"/>
      <c r="E297" s="15"/>
      <c r="F297" s="15"/>
      <c r="G297" s="15"/>
      <c r="H297" s="15"/>
      <c r="I297" s="15"/>
      <c r="J297" s="15"/>
      <c r="K297" s="15"/>
      <c r="L297" s="15"/>
      <c r="M297" s="15"/>
      <c r="N297" s="15"/>
      <c r="O297" s="15"/>
      <c r="P297" s="15"/>
      <c r="Q297" s="15"/>
      <c r="R297" s="15"/>
      <c r="S297" s="15"/>
      <c r="T297" s="15"/>
      <c r="U297" s="15"/>
      <c r="V297" s="15"/>
      <c r="W297" s="15"/>
      <c r="X297" s="15"/>
    </row>
    <row r="298" ht="15.75" customHeight="1">
      <c r="A298" s="15"/>
      <c r="B298" s="15"/>
      <c r="C298" s="13"/>
      <c r="D298" s="15"/>
      <c r="E298" s="15"/>
      <c r="F298" s="15"/>
      <c r="G298" s="15"/>
      <c r="H298" s="15"/>
      <c r="I298" s="15"/>
      <c r="J298" s="15"/>
      <c r="K298" s="15"/>
      <c r="L298" s="15"/>
      <c r="M298" s="15"/>
      <c r="N298" s="15"/>
      <c r="O298" s="15"/>
      <c r="P298" s="15"/>
      <c r="Q298" s="15"/>
      <c r="R298" s="15"/>
      <c r="S298" s="15"/>
      <c r="T298" s="15"/>
      <c r="U298" s="15"/>
      <c r="V298" s="15"/>
      <c r="W298" s="15"/>
      <c r="X298" s="15"/>
    </row>
    <row r="299" ht="15.75" customHeight="1">
      <c r="A299" s="15"/>
      <c r="B299" s="15"/>
      <c r="C299" s="13"/>
      <c r="D299" s="15"/>
      <c r="E299" s="15"/>
      <c r="F299" s="15"/>
      <c r="G299" s="15"/>
      <c r="H299" s="15"/>
      <c r="I299" s="15"/>
      <c r="J299" s="15"/>
      <c r="K299" s="15"/>
      <c r="L299" s="15"/>
      <c r="M299" s="15"/>
      <c r="N299" s="15"/>
      <c r="O299" s="15"/>
      <c r="P299" s="15"/>
      <c r="Q299" s="15"/>
      <c r="R299" s="15"/>
      <c r="S299" s="15"/>
      <c r="T299" s="15"/>
      <c r="U299" s="15"/>
      <c r="V299" s="15"/>
      <c r="W299" s="15"/>
      <c r="X299" s="15"/>
    </row>
    <row r="300" ht="15.75" customHeight="1">
      <c r="A300" s="15"/>
      <c r="B300" s="15"/>
      <c r="C300" s="13"/>
      <c r="D300" s="15"/>
      <c r="E300" s="15"/>
      <c r="F300" s="15"/>
      <c r="G300" s="15"/>
      <c r="H300" s="15"/>
      <c r="I300" s="15"/>
      <c r="J300" s="15"/>
      <c r="K300" s="15"/>
      <c r="L300" s="15"/>
      <c r="M300" s="15"/>
      <c r="N300" s="15"/>
      <c r="O300" s="15"/>
      <c r="P300" s="15"/>
      <c r="Q300" s="15"/>
      <c r="R300" s="15"/>
      <c r="S300" s="15"/>
      <c r="T300" s="15"/>
      <c r="U300" s="15"/>
      <c r="V300" s="15"/>
      <c r="W300" s="15"/>
      <c r="X300" s="15"/>
    </row>
    <row r="301" ht="15.75" customHeight="1">
      <c r="A301" s="15"/>
      <c r="B301" s="15"/>
      <c r="C301" s="13"/>
      <c r="D301" s="15"/>
      <c r="E301" s="15"/>
      <c r="F301" s="15"/>
      <c r="G301" s="15"/>
      <c r="H301" s="15"/>
      <c r="I301" s="15"/>
      <c r="J301" s="15"/>
      <c r="K301" s="15"/>
      <c r="L301" s="15"/>
      <c r="M301" s="15"/>
      <c r="N301" s="15"/>
      <c r="O301" s="15"/>
      <c r="P301" s="15"/>
      <c r="Q301" s="15"/>
      <c r="R301" s="15"/>
      <c r="S301" s="15"/>
      <c r="T301" s="15"/>
      <c r="U301" s="15"/>
      <c r="V301" s="15"/>
      <c r="W301" s="15"/>
      <c r="X301" s="15"/>
    </row>
    <row r="302" ht="15.75" customHeight="1">
      <c r="A302" s="15"/>
      <c r="B302" s="15"/>
      <c r="C302" s="13"/>
      <c r="D302" s="15"/>
      <c r="E302" s="15"/>
      <c r="F302" s="15"/>
      <c r="G302" s="15"/>
      <c r="H302" s="15"/>
      <c r="I302" s="15"/>
      <c r="J302" s="15"/>
      <c r="K302" s="15"/>
      <c r="L302" s="15"/>
      <c r="M302" s="15"/>
      <c r="N302" s="15"/>
      <c r="O302" s="15"/>
      <c r="P302" s="15"/>
      <c r="Q302" s="15"/>
      <c r="R302" s="15"/>
      <c r="S302" s="15"/>
      <c r="T302" s="15"/>
      <c r="U302" s="15"/>
      <c r="V302" s="15"/>
      <c r="W302" s="15"/>
      <c r="X302" s="15"/>
    </row>
    <row r="303" ht="15.75" customHeight="1">
      <c r="A303" s="15"/>
      <c r="B303" s="15"/>
      <c r="C303" s="13"/>
      <c r="D303" s="15"/>
      <c r="E303" s="15"/>
      <c r="F303" s="15"/>
      <c r="G303" s="15"/>
      <c r="H303" s="15"/>
      <c r="I303" s="15"/>
      <c r="J303" s="15"/>
      <c r="K303" s="15"/>
      <c r="L303" s="15"/>
      <c r="M303" s="15"/>
      <c r="N303" s="15"/>
      <c r="O303" s="15"/>
      <c r="P303" s="15"/>
      <c r="Q303" s="15"/>
      <c r="R303" s="15"/>
      <c r="S303" s="15"/>
      <c r="T303" s="15"/>
      <c r="U303" s="15"/>
      <c r="V303" s="15"/>
      <c r="W303" s="15"/>
      <c r="X303" s="15"/>
    </row>
    <row r="304" ht="15.75" customHeight="1">
      <c r="A304" s="15"/>
      <c r="B304" s="15"/>
      <c r="C304" s="13"/>
      <c r="D304" s="15"/>
      <c r="E304" s="15"/>
      <c r="F304" s="15"/>
      <c r="G304" s="15"/>
      <c r="H304" s="15"/>
      <c r="I304" s="15"/>
      <c r="J304" s="15"/>
      <c r="K304" s="15"/>
      <c r="L304" s="15"/>
      <c r="M304" s="15"/>
      <c r="N304" s="15"/>
      <c r="O304" s="15"/>
      <c r="P304" s="15"/>
      <c r="Q304" s="15"/>
      <c r="R304" s="15"/>
      <c r="S304" s="15"/>
      <c r="T304" s="15"/>
      <c r="U304" s="15"/>
      <c r="V304" s="15"/>
      <c r="W304" s="15"/>
      <c r="X304" s="15"/>
    </row>
    <row r="305" ht="15.75" customHeight="1">
      <c r="A305" s="15"/>
      <c r="B305" s="15"/>
      <c r="C305" s="13"/>
      <c r="D305" s="15"/>
      <c r="E305" s="15"/>
      <c r="F305" s="15"/>
      <c r="G305" s="15"/>
      <c r="H305" s="15"/>
      <c r="I305" s="15"/>
      <c r="J305" s="15"/>
      <c r="K305" s="15"/>
      <c r="L305" s="15"/>
      <c r="M305" s="15"/>
      <c r="N305" s="15"/>
      <c r="O305" s="15"/>
      <c r="P305" s="15"/>
      <c r="Q305" s="15"/>
      <c r="R305" s="15"/>
      <c r="S305" s="15"/>
      <c r="T305" s="15"/>
      <c r="U305" s="15"/>
      <c r="V305" s="15"/>
      <c r="W305" s="15"/>
      <c r="X305" s="15"/>
    </row>
    <row r="306" ht="15.75" customHeight="1">
      <c r="A306" s="15"/>
      <c r="B306" s="15"/>
      <c r="C306" s="13"/>
      <c r="D306" s="15"/>
      <c r="E306" s="15"/>
      <c r="F306" s="15"/>
      <c r="G306" s="15"/>
      <c r="H306" s="15"/>
      <c r="I306" s="15"/>
      <c r="J306" s="15"/>
      <c r="K306" s="15"/>
      <c r="L306" s="15"/>
      <c r="M306" s="15"/>
      <c r="N306" s="15"/>
      <c r="O306" s="15"/>
      <c r="P306" s="15"/>
      <c r="Q306" s="15"/>
      <c r="R306" s="15"/>
      <c r="S306" s="15"/>
      <c r="T306" s="15"/>
      <c r="U306" s="15"/>
      <c r="V306" s="15"/>
      <c r="W306" s="15"/>
      <c r="X306" s="15"/>
    </row>
    <row r="307" ht="15.75" customHeight="1">
      <c r="A307" s="15"/>
      <c r="B307" s="15"/>
      <c r="C307" s="13"/>
      <c r="D307" s="15"/>
      <c r="E307" s="15"/>
      <c r="F307" s="15"/>
      <c r="G307" s="15"/>
      <c r="H307" s="15"/>
      <c r="I307" s="15"/>
      <c r="J307" s="15"/>
      <c r="K307" s="15"/>
      <c r="L307" s="15"/>
      <c r="M307" s="15"/>
      <c r="N307" s="15"/>
      <c r="O307" s="15"/>
      <c r="P307" s="15"/>
      <c r="Q307" s="15"/>
      <c r="R307" s="15"/>
      <c r="S307" s="15"/>
      <c r="T307" s="15"/>
      <c r="U307" s="15"/>
      <c r="V307" s="15"/>
      <c r="W307" s="15"/>
      <c r="X307" s="15"/>
    </row>
    <row r="308" ht="15.75" customHeight="1">
      <c r="A308" s="15"/>
      <c r="B308" s="15"/>
      <c r="C308" s="13"/>
      <c r="D308" s="15"/>
      <c r="E308" s="15"/>
      <c r="F308" s="15"/>
      <c r="G308" s="15"/>
      <c r="H308" s="15"/>
      <c r="I308" s="15"/>
      <c r="J308" s="15"/>
      <c r="K308" s="15"/>
      <c r="L308" s="15"/>
      <c r="M308" s="15"/>
      <c r="N308" s="15"/>
      <c r="O308" s="15"/>
      <c r="P308" s="15"/>
      <c r="Q308" s="15"/>
      <c r="R308" s="15"/>
      <c r="S308" s="15"/>
      <c r="T308" s="15"/>
      <c r="U308" s="15"/>
      <c r="V308" s="15"/>
      <c r="W308" s="15"/>
      <c r="X308" s="15"/>
    </row>
    <row r="309" ht="15.75" customHeight="1">
      <c r="A309" s="15"/>
      <c r="B309" s="15"/>
      <c r="C309" s="13"/>
      <c r="D309" s="15"/>
      <c r="E309" s="15"/>
      <c r="F309" s="15"/>
      <c r="G309" s="15"/>
      <c r="H309" s="15"/>
      <c r="I309" s="15"/>
      <c r="J309" s="15"/>
      <c r="K309" s="15"/>
      <c r="L309" s="15"/>
      <c r="M309" s="15"/>
      <c r="N309" s="15"/>
      <c r="O309" s="15"/>
      <c r="P309" s="15"/>
      <c r="Q309" s="15"/>
      <c r="R309" s="15"/>
      <c r="S309" s="15"/>
      <c r="T309" s="15"/>
      <c r="U309" s="15"/>
      <c r="V309" s="15"/>
      <c r="W309" s="15"/>
      <c r="X309" s="15"/>
    </row>
    <row r="310" ht="15.75" customHeight="1">
      <c r="A310" s="15"/>
      <c r="B310" s="15"/>
      <c r="C310" s="13"/>
      <c r="D310" s="15"/>
      <c r="E310" s="15"/>
      <c r="F310" s="15"/>
      <c r="G310" s="15"/>
      <c r="H310" s="15"/>
      <c r="I310" s="15"/>
      <c r="J310" s="15"/>
      <c r="K310" s="15"/>
      <c r="L310" s="15"/>
      <c r="M310" s="15"/>
      <c r="N310" s="15"/>
      <c r="O310" s="15"/>
      <c r="P310" s="15"/>
      <c r="Q310" s="15"/>
      <c r="R310" s="15"/>
      <c r="S310" s="15"/>
      <c r="T310" s="15"/>
      <c r="U310" s="15"/>
      <c r="V310" s="15"/>
      <c r="W310" s="15"/>
      <c r="X310" s="15"/>
    </row>
    <row r="311" ht="15.75" customHeight="1">
      <c r="A311" s="15"/>
      <c r="B311" s="15"/>
      <c r="C311" s="13"/>
      <c r="D311" s="15"/>
      <c r="E311" s="15"/>
      <c r="F311" s="15"/>
      <c r="G311" s="15"/>
      <c r="H311" s="15"/>
      <c r="I311" s="15"/>
      <c r="J311" s="15"/>
      <c r="K311" s="15"/>
      <c r="L311" s="15"/>
      <c r="M311" s="15"/>
      <c r="N311" s="15"/>
      <c r="O311" s="15"/>
      <c r="P311" s="15"/>
      <c r="Q311" s="15"/>
      <c r="R311" s="15"/>
      <c r="S311" s="15"/>
      <c r="T311" s="15"/>
      <c r="U311" s="15"/>
      <c r="V311" s="15"/>
      <c r="W311" s="15"/>
      <c r="X311" s="15"/>
    </row>
    <row r="312" ht="15.75" customHeight="1">
      <c r="A312" s="15"/>
      <c r="B312" s="15"/>
      <c r="C312" s="13"/>
      <c r="D312" s="15"/>
      <c r="E312" s="15"/>
      <c r="F312" s="15"/>
      <c r="G312" s="15"/>
      <c r="H312" s="15"/>
      <c r="I312" s="15"/>
      <c r="J312" s="15"/>
      <c r="K312" s="15"/>
      <c r="L312" s="15"/>
      <c r="M312" s="15"/>
      <c r="N312" s="15"/>
      <c r="O312" s="15"/>
      <c r="P312" s="15"/>
      <c r="Q312" s="15"/>
      <c r="R312" s="15"/>
      <c r="S312" s="15"/>
      <c r="T312" s="15"/>
      <c r="U312" s="15"/>
      <c r="V312" s="15"/>
      <c r="W312" s="15"/>
      <c r="X312" s="15"/>
    </row>
    <row r="313" ht="15.75" customHeight="1">
      <c r="A313" s="15"/>
      <c r="B313" s="15"/>
      <c r="C313" s="13"/>
      <c r="D313" s="15"/>
      <c r="E313" s="15"/>
      <c r="F313" s="15"/>
      <c r="G313" s="15"/>
      <c r="H313" s="15"/>
      <c r="I313" s="15"/>
      <c r="J313" s="15"/>
      <c r="K313" s="15"/>
      <c r="L313" s="15"/>
      <c r="M313" s="15"/>
      <c r="N313" s="15"/>
      <c r="O313" s="15"/>
      <c r="P313" s="15"/>
      <c r="Q313" s="15"/>
      <c r="R313" s="15"/>
      <c r="S313" s="15"/>
      <c r="T313" s="15"/>
      <c r="U313" s="15"/>
      <c r="V313" s="15"/>
      <c r="W313" s="15"/>
      <c r="X313" s="15"/>
    </row>
    <row r="314" ht="15.75" customHeight="1">
      <c r="A314" s="15"/>
      <c r="B314" s="15"/>
      <c r="C314" s="13"/>
      <c r="D314" s="15"/>
      <c r="E314" s="15"/>
      <c r="F314" s="15"/>
      <c r="G314" s="15"/>
      <c r="H314" s="15"/>
      <c r="I314" s="15"/>
      <c r="J314" s="15"/>
      <c r="K314" s="15"/>
      <c r="L314" s="15"/>
      <c r="M314" s="15"/>
      <c r="N314" s="15"/>
      <c r="O314" s="15"/>
      <c r="P314" s="15"/>
      <c r="Q314" s="15"/>
      <c r="R314" s="15"/>
      <c r="S314" s="15"/>
      <c r="T314" s="15"/>
      <c r="U314" s="15"/>
      <c r="V314" s="15"/>
      <c r="W314" s="15"/>
      <c r="X314" s="15"/>
    </row>
    <row r="315" ht="15.75" customHeight="1">
      <c r="A315" s="15"/>
      <c r="B315" s="15"/>
      <c r="C315" s="13"/>
      <c r="D315" s="15"/>
      <c r="E315" s="15"/>
      <c r="F315" s="15"/>
      <c r="G315" s="15"/>
      <c r="H315" s="15"/>
      <c r="I315" s="15"/>
      <c r="J315" s="15"/>
      <c r="K315" s="15"/>
      <c r="L315" s="15"/>
      <c r="M315" s="15"/>
      <c r="N315" s="15"/>
      <c r="O315" s="15"/>
      <c r="P315" s="15"/>
      <c r="Q315" s="15"/>
      <c r="R315" s="15"/>
      <c r="S315" s="15"/>
      <c r="T315" s="15"/>
      <c r="U315" s="15"/>
      <c r="V315" s="15"/>
      <c r="W315" s="15"/>
      <c r="X315" s="15"/>
    </row>
    <row r="316" ht="15.75" customHeight="1">
      <c r="A316" s="15"/>
      <c r="B316" s="15"/>
      <c r="C316" s="13"/>
      <c r="D316" s="15"/>
      <c r="E316" s="15"/>
      <c r="F316" s="15"/>
      <c r="G316" s="15"/>
      <c r="H316" s="15"/>
      <c r="I316" s="15"/>
      <c r="J316" s="15"/>
      <c r="K316" s="15"/>
      <c r="L316" s="15"/>
      <c r="M316" s="15"/>
      <c r="N316" s="15"/>
      <c r="O316" s="15"/>
      <c r="P316" s="15"/>
      <c r="Q316" s="15"/>
      <c r="R316" s="15"/>
      <c r="S316" s="15"/>
      <c r="T316" s="15"/>
      <c r="U316" s="15"/>
      <c r="V316" s="15"/>
      <c r="W316" s="15"/>
      <c r="X316" s="15"/>
    </row>
    <row r="317" ht="15.75" customHeight="1">
      <c r="A317" s="15"/>
      <c r="B317" s="15"/>
      <c r="C317" s="13"/>
      <c r="D317" s="15"/>
      <c r="E317" s="15"/>
      <c r="F317" s="15"/>
      <c r="G317" s="15"/>
      <c r="H317" s="15"/>
      <c r="I317" s="15"/>
      <c r="J317" s="15"/>
      <c r="K317" s="15"/>
      <c r="L317" s="15"/>
      <c r="M317" s="15"/>
      <c r="N317" s="15"/>
      <c r="O317" s="15"/>
      <c r="P317" s="15"/>
      <c r="Q317" s="15"/>
      <c r="R317" s="15"/>
      <c r="S317" s="15"/>
      <c r="T317" s="15"/>
      <c r="U317" s="15"/>
      <c r="V317" s="15"/>
      <c r="W317" s="15"/>
      <c r="X317" s="15"/>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4" width="1.88"/>
    <col customWidth="1" min="5" max="5" width="26.38"/>
    <col customWidth="1" min="6" max="6" width="15.25"/>
    <col customWidth="1" min="7" max="7" width="3.5"/>
    <col customWidth="1" min="8" max="8" width="5.63"/>
    <col customWidth="1" min="9" max="9" width="2.63"/>
    <col customWidth="1" min="10" max="10" width="12.63"/>
    <col customWidth="1" min="11" max="11" width="2.13"/>
    <col customWidth="1" min="12" max="13" width="12.63"/>
    <col customWidth="1" min="14" max="14" width="3.38"/>
    <col customWidth="1" min="15" max="15" width="12.63"/>
    <col customWidth="1" min="16" max="16" width="11.88"/>
    <col customWidth="1" min="17" max="17" width="1.63"/>
    <col customWidth="1" min="18" max="18" width="9.0"/>
    <col customWidth="1" min="19" max="29" width="12.63"/>
  </cols>
  <sheetData>
    <row r="1" ht="15.75" customHeight="1">
      <c r="A1" s="10" t="s">
        <v>71</v>
      </c>
      <c r="U1" s="20"/>
      <c r="V1" s="20"/>
      <c r="W1" s="20"/>
      <c r="X1" s="20"/>
      <c r="Y1" s="20"/>
      <c r="Z1" s="20"/>
      <c r="AA1" s="20"/>
      <c r="AB1" s="20"/>
      <c r="AC1" s="20"/>
    </row>
    <row r="2" ht="15.75" customHeight="1">
      <c r="U2" s="20"/>
      <c r="V2" s="20"/>
      <c r="W2" s="20"/>
      <c r="X2" s="20"/>
      <c r="Y2" s="20"/>
      <c r="Z2" s="20"/>
      <c r="AA2" s="20"/>
      <c r="AB2" s="20"/>
      <c r="AC2" s="20"/>
    </row>
    <row r="3" ht="15.75" customHeight="1">
      <c r="U3" s="20"/>
      <c r="V3" s="20"/>
      <c r="W3" s="20"/>
      <c r="X3" s="20"/>
      <c r="Y3" s="20"/>
      <c r="Z3" s="20"/>
      <c r="AA3" s="20"/>
      <c r="AB3" s="20"/>
      <c r="AC3" s="20"/>
    </row>
    <row r="4" ht="15.75" customHeight="1">
      <c r="U4" s="17"/>
      <c r="V4" s="17"/>
      <c r="W4" s="17"/>
      <c r="X4" s="17"/>
      <c r="Y4" s="17"/>
      <c r="Z4" s="17"/>
      <c r="AA4" s="17"/>
      <c r="AB4" s="214"/>
      <c r="AC4" s="17"/>
    </row>
    <row r="5" ht="15.75" customHeight="1">
      <c r="A5" s="189"/>
      <c r="B5" s="189"/>
      <c r="C5" s="189"/>
      <c r="D5" s="189"/>
      <c r="E5" s="189"/>
      <c r="F5" s="189"/>
      <c r="G5" s="189"/>
      <c r="H5" s="189"/>
      <c r="I5" s="189"/>
      <c r="J5" s="189"/>
      <c r="K5" s="189"/>
      <c r="L5" s="189"/>
      <c r="M5" s="189"/>
      <c r="N5" s="189"/>
      <c r="O5" s="189"/>
      <c r="P5" s="189"/>
      <c r="Q5" s="189"/>
      <c r="R5" s="189"/>
      <c r="S5" s="189"/>
      <c r="T5" s="189"/>
      <c r="U5" s="17"/>
      <c r="V5" s="17"/>
      <c r="W5" s="17"/>
      <c r="X5" s="17"/>
      <c r="Y5" s="17"/>
      <c r="Z5" s="17"/>
      <c r="AA5" s="17"/>
      <c r="AB5" s="20"/>
      <c r="AC5" s="17"/>
    </row>
    <row r="6" ht="15.75" customHeight="1">
      <c r="A6" s="17"/>
      <c r="B6" s="19"/>
      <c r="C6" s="21" t="s">
        <v>5</v>
      </c>
      <c r="D6" s="21"/>
      <c r="E6" s="215" t="str">
        <f>'INPUT DATA'!F10</f>
        <v>NCR</v>
      </c>
      <c r="F6" s="14"/>
      <c r="G6" s="191"/>
      <c r="H6" s="216"/>
      <c r="I6" s="82"/>
      <c r="J6" s="21" t="s">
        <v>8</v>
      </c>
      <c r="K6" s="21"/>
      <c r="L6" s="217" t="str">
        <f>'INPUT DATA'!F11</f>
        <v>LAS PINAS</v>
      </c>
      <c r="M6" s="30"/>
      <c r="N6" s="49"/>
      <c r="O6" s="218"/>
      <c r="P6" s="31"/>
      <c r="Q6" s="31"/>
      <c r="R6" s="31"/>
      <c r="S6" s="31"/>
      <c r="T6" s="31"/>
      <c r="U6" s="17"/>
      <c r="V6" s="17"/>
      <c r="W6" s="17"/>
      <c r="X6" s="17"/>
      <c r="Y6" s="17"/>
      <c r="Z6" s="17"/>
      <c r="AA6" s="17"/>
      <c r="AB6" s="20"/>
      <c r="AC6" s="17"/>
    </row>
    <row r="7" ht="15.75" customHeight="1">
      <c r="A7" s="17"/>
      <c r="B7" s="19"/>
      <c r="C7" s="21" t="s">
        <v>13</v>
      </c>
      <c r="D7" s="21"/>
      <c r="E7" s="219" t="str">
        <f>'INPUT DATA'!F16</f>
        <v>LAS PINAS EAST NATIONAL HIGH SCHOOL</v>
      </c>
      <c r="F7" s="29"/>
      <c r="G7" s="29"/>
      <c r="H7" s="30"/>
      <c r="I7" s="220"/>
      <c r="J7" s="21" t="s">
        <v>16</v>
      </c>
      <c r="K7" s="21"/>
      <c r="L7" s="217">
        <f>'INPUT DATA'!F15</f>
        <v>305434</v>
      </c>
      <c r="M7" s="30"/>
      <c r="N7" s="49"/>
      <c r="O7" s="49"/>
      <c r="P7" s="21" t="s">
        <v>22</v>
      </c>
      <c r="Q7" s="21"/>
      <c r="R7" s="217" t="str">
        <f>'INPUT DATA'!F18</f>
        <v>2026-2027</v>
      </c>
      <c r="S7" s="29"/>
      <c r="T7" s="30"/>
      <c r="U7" s="17"/>
      <c r="V7" s="17"/>
      <c r="W7" s="17"/>
      <c r="X7" s="17"/>
      <c r="Y7" s="17"/>
      <c r="Z7" s="17"/>
      <c r="AA7" s="17"/>
      <c r="AB7" s="20"/>
      <c r="AC7" s="17"/>
    </row>
    <row r="8" ht="15.75" customHeight="1">
      <c r="A8" s="17"/>
      <c r="B8" s="19"/>
      <c r="C8" s="49"/>
      <c r="D8" s="49"/>
      <c r="E8" s="17"/>
      <c r="F8" s="31"/>
      <c r="G8" s="31"/>
      <c r="H8" s="31"/>
      <c r="I8" s="31"/>
      <c r="J8" s="17"/>
      <c r="K8" s="17"/>
      <c r="L8" s="17"/>
      <c r="M8" s="49"/>
      <c r="N8" s="17"/>
      <c r="O8" s="49"/>
      <c r="P8" s="17"/>
      <c r="Q8" s="17"/>
      <c r="R8" s="49"/>
      <c r="S8" s="49"/>
      <c r="T8" s="17"/>
      <c r="U8" s="17"/>
      <c r="V8" s="17"/>
      <c r="W8" s="17"/>
      <c r="X8" s="17"/>
      <c r="Y8" s="17"/>
      <c r="Z8" s="17"/>
      <c r="AA8" s="17"/>
      <c r="AB8" s="20"/>
      <c r="AC8" s="17"/>
    </row>
    <row r="9" ht="15.75" customHeight="1">
      <c r="A9" s="17"/>
      <c r="B9" s="221"/>
      <c r="C9" s="140"/>
      <c r="D9" s="140"/>
      <c r="E9" s="140"/>
      <c r="F9" s="140"/>
      <c r="G9" s="140"/>
      <c r="H9" s="140"/>
      <c r="I9" s="140"/>
      <c r="J9" s="140"/>
      <c r="K9" s="140"/>
      <c r="L9" s="140"/>
      <c r="M9" s="140"/>
      <c r="N9" s="140"/>
      <c r="O9" s="140"/>
      <c r="P9" s="140"/>
      <c r="Q9" s="140"/>
      <c r="R9" s="140"/>
      <c r="S9" s="140"/>
      <c r="T9" s="222"/>
      <c r="U9" s="17"/>
      <c r="V9" s="17"/>
      <c r="W9" s="17"/>
      <c r="X9" s="17"/>
      <c r="Y9" s="17"/>
      <c r="Z9" s="17"/>
      <c r="AA9" s="17"/>
      <c r="AB9" s="20"/>
      <c r="AC9" s="17"/>
    </row>
    <row r="10" ht="15.75" customHeight="1">
      <c r="A10" s="20"/>
      <c r="B10" s="223" t="s">
        <v>33</v>
      </c>
      <c r="C10" s="12"/>
      <c r="D10" s="12"/>
      <c r="E10" s="12"/>
      <c r="F10" s="224" t="s">
        <v>25</v>
      </c>
      <c r="G10" s="30"/>
      <c r="H10" s="217">
        <f>'INPUT DATA'!F27</f>
        <v>10</v>
      </c>
      <c r="I10" s="29"/>
      <c r="J10" s="29"/>
      <c r="K10" s="29"/>
      <c r="L10" s="29"/>
      <c r="M10" s="30"/>
      <c r="N10" s="223" t="s">
        <v>30</v>
      </c>
      <c r="O10" s="14"/>
      <c r="P10" s="225" t="s">
        <v>73</v>
      </c>
      <c r="Q10" s="12"/>
      <c r="R10" s="12"/>
      <c r="S10" s="12"/>
      <c r="T10" s="14"/>
      <c r="U10" s="20"/>
      <c r="V10" s="20"/>
      <c r="W10" s="20"/>
      <c r="X10" s="20"/>
      <c r="Y10" s="20"/>
      <c r="Z10" s="20"/>
      <c r="AA10" s="20"/>
      <c r="AB10" s="20"/>
      <c r="AC10" s="20"/>
    </row>
    <row r="11" ht="15.75" customHeight="1">
      <c r="A11" s="20"/>
      <c r="B11" s="83"/>
      <c r="F11" s="223" t="s">
        <v>31</v>
      </c>
      <c r="G11" s="14"/>
      <c r="H11" s="217" t="str">
        <f>'INPUT DATA'!F28</f>
        <v>PAMAYPAY</v>
      </c>
      <c r="I11" s="29"/>
      <c r="J11" s="29"/>
      <c r="K11" s="29"/>
      <c r="L11" s="29"/>
      <c r="M11" s="30"/>
      <c r="N11" s="85"/>
      <c r="O11" s="76"/>
      <c r="P11" s="85"/>
      <c r="Q11" s="75"/>
      <c r="R11" s="75"/>
      <c r="S11" s="75"/>
      <c r="T11" s="76"/>
      <c r="U11" s="20"/>
      <c r="V11" s="20"/>
      <c r="W11" s="20"/>
      <c r="X11" s="20"/>
      <c r="Y11" s="20"/>
      <c r="Z11" s="20"/>
      <c r="AA11" s="20"/>
      <c r="AB11" s="20"/>
      <c r="AC11" s="20"/>
    </row>
    <row r="12" ht="15.0" customHeight="1">
      <c r="A12" s="17"/>
      <c r="B12" s="83"/>
      <c r="F12" s="223" t="s">
        <v>24</v>
      </c>
      <c r="G12" s="12"/>
      <c r="H12" s="12"/>
      <c r="I12" s="14"/>
      <c r="J12" s="226" t="s">
        <v>26</v>
      </c>
      <c r="L12" s="68"/>
      <c r="M12" s="226" t="s">
        <v>57</v>
      </c>
      <c r="O12" s="68"/>
      <c r="P12" s="227" t="s">
        <v>74</v>
      </c>
      <c r="Q12" s="12"/>
      <c r="R12" s="14"/>
      <c r="S12" s="223" t="s">
        <v>75</v>
      </c>
      <c r="T12" s="14"/>
      <c r="U12" s="17"/>
      <c r="V12" s="17"/>
      <c r="W12" s="17"/>
      <c r="X12" s="17"/>
      <c r="Y12" s="17"/>
      <c r="Z12" s="17"/>
      <c r="AA12" s="17"/>
      <c r="AB12" s="17"/>
      <c r="AC12" s="17"/>
    </row>
    <row r="13" ht="15.0" customHeight="1">
      <c r="A13" s="17"/>
      <c r="B13" s="85"/>
      <c r="C13" s="75"/>
      <c r="D13" s="75"/>
      <c r="E13" s="75"/>
      <c r="F13" s="85"/>
      <c r="G13" s="75"/>
      <c r="H13" s="75"/>
      <c r="I13" s="76"/>
      <c r="J13" s="85"/>
      <c r="K13" s="75"/>
      <c r="L13" s="76"/>
      <c r="M13" s="85"/>
      <c r="N13" s="75"/>
      <c r="O13" s="76"/>
      <c r="P13" s="75"/>
      <c r="Q13" s="75"/>
      <c r="R13" s="76"/>
      <c r="S13" s="85"/>
      <c r="T13" s="76"/>
      <c r="U13" s="17"/>
      <c r="V13" s="17"/>
      <c r="W13" s="17"/>
      <c r="X13" s="17"/>
      <c r="Y13" s="17"/>
      <c r="Z13" s="17"/>
      <c r="AA13" s="17"/>
      <c r="AB13" s="17"/>
      <c r="AC13" s="17"/>
    </row>
    <row r="14" ht="15.75" customHeight="1">
      <c r="A14" s="17"/>
      <c r="B14" s="111" t="s">
        <v>9</v>
      </c>
      <c r="C14" s="29"/>
      <c r="D14" s="29"/>
      <c r="E14" s="29"/>
      <c r="F14" s="29"/>
      <c r="G14" s="29"/>
      <c r="H14" s="29"/>
      <c r="I14" s="29"/>
      <c r="J14" s="29"/>
      <c r="K14" s="29"/>
      <c r="L14" s="29"/>
      <c r="M14" s="29"/>
      <c r="N14" s="29"/>
      <c r="O14" s="29"/>
      <c r="P14" s="29"/>
      <c r="Q14" s="29"/>
      <c r="R14" s="29"/>
      <c r="S14" s="29"/>
      <c r="T14" s="30"/>
      <c r="U14" s="17"/>
      <c r="V14" s="17"/>
      <c r="W14" s="17"/>
      <c r="X14" s="17"/>
      <c r="Y14" s="17"/>
      <c r="Z14" s="17"/>
      <c r="AA14" s="17"/>
      <c r="AB14" s="17"/>
      <c r="AC14" s="17"/>
    </row>
    <row r="15" ht="15.75" customHeight="1">
      <c r="A15" s="17"/>
      <c r="B15" s="228">
        <v>1.0</v>
      </c>
      <c r="C15" s="229" t="str">
        <f>IF('INPUT DATA'!L11="","",'INPUT DATA'!L11)</f>
        <v>A</v>
      </c>
      <c r="D15" s="205"/>
      <c r="E15" s="205"/>
      <c r="F15" s="230" t="str">
        <f t="array" ref="F15">IF(TRIM(C15)="","",IFERROR(_xlfn.XLOOKUP(TRIM(C15),'TERM 1 SUMMARY'!$C$15:$C$115,'TERM 1 SUMMARY'!$T$15:$T$115),""))</f>
        <v/>
      </c>
      <c r="G15" s="168"/>
      <c r="H15" s="168"/>
      <c r="I15" s="232"/>
      <c r="J15" s="233" t="str">
        <f t="array" ref="J15">IF(TRIM(C15)="","",IFERROR(_xlfn.XLOOKUP(TRIM(C15),'TERM 2 SUMMARY A'!$C$15:$C$115,'TERM 2 SUMMARY A'!$T$15:T$115),""))</f>
        <v/>
      </c>
      <c r="K15" s="12"/>
      <c r="L15" s="234"/>
      <c r="M15" s="233" t="str">
        <f t="array" ref="M15">IF(TRIM(C15)="","",IFERROR(_xlfn.XLOOKUP(TRIM(C15),'TERM 3 SUMMARY B'!$C$15:$C$115,'TERM 3 SUMMARY B'!$T$15:$T$115),""))</f>
        <v/>
      </c>
      <c r="N15" s="12"/>
      <c r="O15" s="14"/>
      <c r="P15" s="235" t="str">
        <f t="shared" ref="P15:P64" si="1">IF(C15="","",IF(COUNT($F15:$M15)=0,"",SUM($F15:$M15)/3))</f>
        <v/>
      </c>
      <c r="Q15" s="168"/>
      <c r="R15" s="232"/>
      <c r="S15" s="236" t="str">
        <f t="shared" ref="S15:S64" si="2">IF(P15="","",_xlfn.RANK.AVG(P15,$P$15:$P$115))</f>
        <v/>
      </c>
      <c r="T15" s="169"/>
      <c r="U15" s="17"/>
      <c r="V15" s="17"/>
      <c r="W15" s="17"/>
      <c r="X15" s="17"/>
      <c r="Y15" s="17"/>
      <c r="Z15" s="17"/>
      <c r="AA15" s="17"/>
      <c r="AB15" s="17"/>
      <c r="AC15" s="17"/>
    </row>
    <row r="16" ht="15.75" customHeight="1">
      <c r="A16" s="17"/>
      <c r="B16" s="237">
        <v>2.0</v>
      </c>
      <c r="C16" s="229" t="str">
        <f>IF('INPUT DATA'!L12="","",'INPUT DATA'!L12)</f>
        <v>B</v>
      </c>
      <c r="D16" s="205"/>
      <c r="E16" s="205"/>
      <c r="F16" s="238" t="str">
        <f t="array" ref="F16">IF(TRIM(C16)="","",IFERROR(_xlfn.XLOOKUP(TRIM(C16),'TERM 1 SUMMARY'!$C$15:$C$115,'TERM 1 SUMMARY'!$T$15:$T$115),""))</f>
        <v/>
      </c>
      <c r="G16" s="172"/>
      <c r="H16" s="172"/>
      <c r="I16" s="33"/>
      <c r="J16" s="239" t="str">
        <f t="array" ref="J16">IF(TRIM(C16)="","",IFERROR(_xlfn.XLOOKUP(TRIM(C16),'TERM 2 SUMMARY A'!$C$15:$C$115,'TERM 2 SUMMARY A'!$T$15:T$115),""))</f>
        <v/>
      </c>
      <c r="K16" s="172"/>
      <c r="L16" s="163"/>
      <c r="M16" s="239" t="str">
        <f t="array" ref="M16">IF(TRIM(C16)="","",IFERROR(_xlfn.XLOOKUP(TRIM(C16),'TERM 3 SUMMARY B'!$C$15:$C$115,'TERM 3 SUMMARY B'!$T$15:$T$115),""))</f>
        <v/>
      </c>
      <c r="N16" s="172"/>
      <c r="O16" s="163"/>
      <c r="P16" s="240" t="str">
        <f t="shared" si="1"/>
        <v/>
      </c>
      <c r="Q16" s="172"/>
      <c r="R16" s="33"/>
      <c r="S16" s="241" t="str">
        <f t="shared" si="2"/>
        <v/>
      </c>
      <c r="T16" s="163"/>
      <c r="U16" s="17"/>
      <c r="V16" s="17"/>
      <c r="W16" s="17"/>
      <c r="X16" s="17"/>
      <c r="Y16" s="17"/>
      <c r="Z16" s="17"/>
      <c r="AA16" s="17"/>
      <c r="AB16" s="17"/>
      <c r="AC16" s="17"/>
    </row>
    <row r="17" ht="15.75" customHeight="1">
      <c r="A17" s="17"/>
      <c r="B17" s="237">
        <v>3.0</v>
      </c>
      <c r="C17" s="229" t="str">
        <f>IF('INPUT DATA'!L13="","",'INPUT DATA'!L13)</f>
        <v/>
      </c>
      <c r="D17" s="205"/>
      <c r="E17" s="205"/>
      <c r="F17" s="238" t="str">
        <f t="array" ref="F17">IF(TRIM(C17)="","",IFERROR(_xlfn.XLOOKUP(TRIM(C17),'TERM 1 SUMMARY'!$C$15:$C$115,'TERM 1 SUMMARY'!$T$15:$T$115),""))</f>
        <v/>
      </c>
      <c r="G17" s="172"/>
      <c r="H17" s="172"/>
      <c r="I17" s="33"/>
      <c r="J17" s="239" t="str">
        <f t="array" ref="J17">IF(TRIM(C17)="","",IFERROR(_xlfn.XLOOKUP(TRIM(C17),'TERM 2 SUMMARY A'!$C$15:$C$115,'TERM 2 SUMMARY A'!$T$15:T$115),""))</f>
        <v/>
      </c>
      <c r="K17" s="172"/>
      <c r="L17" s="163"/>
      <c r="M17" s="239" t="str">
        <f t="array" ref="M17">IF(TRIM(C17)="","",IFERROR(_xlfn.XLOOKUP(TRIM(C17),'TERM 3 SUMMARY B'!$C$15:$C$115,'TERM 3 SUMMARY B'!$T$15:$T$115),""))</f>
        <v/>
      </c>
      <c r="N17" s="172"/>
      <c r="O17" s="163"/>
      <c r="P17" s="240" t="str">
        <f t="shared" si="1"/>
        <v/>
      </c>
      <c r="Q17" s="172"/>
      <c r="R17" s="33"/>
      <c r="S17" s="241" t="str">
        <f t="shared" si="2"/>
        <v/>
      </c>
      <c r="T17" s="163"/>
      <c r="U17" s="17"/>
      <c r="V17" s="17"/>
      <c r="W17" s="17"/>
      <c r="X17" s="17"/>
      <c r="Y17" s="17"/>
      <c r="Z17" s="17"/>
      <c r="AA17" s="17"/>
      <c r="AB17" s="17"/>
      <c r="AC17" s="17"/>
    </row>
    <row r="18" ht="15.75" customHeight="1">
      <c r="A18" s="17"/>
      <c r="B18" s="237">
        <v>4.0</v>
      </c>
      <c r="C18" s="229" t="str">
        <f>IF('INPUT DATA'!L14="","",'INPUT DATA'!L14)</f>
        <v/>
      </c>
      <c r="D18" s="205"/>
      <c r="E18" s="205"/>
      <c r="F18" s="238" t="str">
        <f t="array" ref="F18">IF(TRIM(C18)="","",IFERROR(_xlfn.XLOOKUP(TRIM(C18),'TERM 1 SUMMARY'!$C$15:$C$115,'TERM 1 SUMMARY'!$T$15:$T$115),""))</f>
        <v/>
      </c>
      <c r="G18" s="172"/>
      <c r="H18" s="172"/>
      <c r="I18" s="33"/>
      <c r="J18" s="239" t="str">
        <f t="array" ref="J18">IF(TRIM(C18)="","",IFERROR(_xlfn.XLOOKUP(TRIM(C18),'TERM 2 SUMMARY A'!$C$15:$C$115,'TERM 2 SUMMARY A'!$T$15:T$115),""))</f>
        <v/>
      </c>
      <c r="K18" s="172"/>
      <c r="L18" s="163"/>
      <c r="M18" s="239" t="str">
        <f t="array" ref="M18">IF(TRIM(C18)="","",IFERROR(_xlfn.XLOOKUP(TRIM(C18),'TERM 3 SUMMARY B'!$C$15:$C$115,'TERM 3 SUMMARY B'!$T$15:$T$115),""))</f>
        <v/>
      </c>
      <c r="N18" s="172"/>
      <c r="O18" s="163"/>
      <c r="P18" s="240" t="str">
        <f t="shared" si="1"/>
        <v/>
      </c>
      <c r="Q18" s="172"/>
      <c r="R18" s="33"/>
      <c r="S18" s="241" t="str">
        <f t="shared" si="2"/>
        <v/>
      </c>
      <c r="T18" s="163"/>
      <c r="U18" s="17"/>
      <c r="V18" s="17"/>
      <c r="W18" s="17"/>
      <c r="X18" s="17"/>
      <c r="Y18" s="17"/>
      <c r="Z18" s="17"/>
      <c r="AA18" s="17"/>
      <c r="AB18" s="17"/>
      <c r="AC18" s="17"/>
    </row>
    <row r="19" ht="15.75" customHeight="1">
      <c r="A19" s="17"/>
      <c r="B19" s="237">
        <v>5.0</v>
      </c>
      <c r="C19" s="229" t="str">
        <f>IF('INPUT DATA'!L15="","",'INPUT DATA'!L15)</f>
        <v/>
      </c>
      <c r="D19" s="205"/>
      <c r="E19" s="205"/>
      <c r="F19" s="238" t="str">
        <f t="array" ref="F19">IF(TRIM(C19)="","",IFERROR(_xlfn.XLOOKUP(TRIM(C19),'TERM 1 SUMMARY'!$C$15:$C$115,'TERM 1 SUMMARY'!$T$15:$T$115),""))</f>
        <v/>
      </c>
      <c r="G19" s="172"/>
      <c r="H19" s="172"/>
      <c r="I19" s="33"/>
      <c r="J19" s="239" t="str">
        <f t="array" ref="J19">IF(TRIM(C19)="","",IFERROR(_xlfn.XLOOKUP(TRIM(C19),'TERM 2 SUMMARY A'!$C$15:$C$115,'TERM 2 SUMMARY A'!$T$15:T$115),""))</f>
        <v/>
      </c>
      <c r="K19" s="172"/>
      <c r="L19" s="163"/>
      <c r="M19" s="239" t="str">
        <f t="array" ref="M19">IF(TRIM(C19)="","",IFERROR(_xlfn.XLOOKUP(TRIM(C19),'TERM 3 SUMMARY B'!$C$15:$C$115,'TERM 3 SUMMARY B'!$T$15:$T$115),""))</f>
        <v/>
      </c>
      <c r="N19" s="172"/>
      <c r="O19" s="163"/>
      <c r="P19" s="240" t="str">
        <f t="shared" si="1"/>
        <v/>
      </c>
      <c r="Q19" s="172"/>
      <c r="R19" s="33"/>
      <c r="S19" s="241" t="str">
        <f t="shared" si="2"/>
        <v/>
      </c>
      <c r="T19" s="163"/>
      <c r="U19" s="17"/>
      <c r="V19" s="17"/>
      <c r="W19" s="17"/>
      <c r="X19" s="17"/>
      <c r="Y19" s="17"/>
      <c r="Z19" s="17"/>
      <c r="AA19" s="17"/>
      <c r="AB19" s="17"/>
      <c r="AC19" s="17"/>
    </row>
    <row r="20" ht="15.75" customHeight="1">
      <c r="A20" s="17"/>
      <c r="B20" s="237">
        <v>6.0</v>
      </c>
      <c r="C20" s="229" t="str">
        <f>IF('INPUT DATA'!L16="","",'INPUT DATA'!L16)</f>
        <v/>
      </c>
      <c r="D20" s="205"/>
      <c r="E20" s="205"/>
      <c r="F20" s="238" t="str">
        <f t="array" ref="F20">IF(TRIM(C20)="","",IFERROR(_xlfn.XLOOKUP(TRIM(C20),'TERM 1 SUMMARY'!$C$15:$C$115,'TERM 1 SUMMARY'!$T$15:$T$115),""))</f>
        <v/>
      </c>
      <c r="G20" s="172"/>
      <c r="H20" s="172"/>
      <c r="I20" s="33"/>
      <c r="J20" s="239" t="str">
        <f t="array" ref="J20">IF(TRIM(C20)="","",IFERROR(_xlfn.XLOOKUP(TRIM(C20),'TERM 2 SUMMARY A'!$C$15:$C$115,'TERM 2 SUMMARY A'!$T$15:T$115),""))</f>
        <v/>
      </c>
      <c r="K20" s="172"/>
      <c r="L20" s="163"/>
      <c r="M20" s="239" t="str">
        <f t="array" ref="M20">IF(TRIM(C20)="","",IFERROR(_xlfn.XLOOKUP(TRIM(C20),'TERM 3 SUMMARY B'!$C$15:$C$115,'TERM 3 SUMMARY B'!$T$15:$T$115),""))</f>
        <v/>
      </c>
      <c r="N20" s="172"/>
      <c r="O20" s="163"/>
      <c r="P20" s="240" t="str">
        <f t="shared" si="1"/>
        <v/>
      </c>
      <c r="Q20" s="172"/>
      <c r="R20" s="33"/>
      <c r="S20" s="241" t="str">
        <f t="shared" si="2"/>
        <v/>
      </c>
      <c r="T20" s="163"/>
      <c r="U20" s="17"/>
      <c r="V20" s="17"/>
      <c r="W20" s="17"/>
      <c r="X20" s="17"/>
      <c r="Y20" s="17"/>
      <c r="Z20" s="17"/>
      <c r="AA20" s="17"/>
      <c r="AB20" s="17"/>
      <c r="AC20" s="17"/>
    </row>
    <row r="21" ht="15.75" customHeight="1">
      <c r="A21" s="17"/>
      <c r="B21" s="237">
        <v>7.0</v>
      </c>
      <c r="C21" s="229" t="str">
        <f>IF('INPUT DATA'!L17="","",'INPUT DATA'!L17)</f>
        <v/>
      </c>
      <c r="D21" s="205"/>
      <c r="E21" s="205"/>
      <c r="F21" s="238" t="str">
        <f t="array" ref="F21">IF(TRIM(C21)="","",IFERROR(_xlfn.XLOOKUP(TRIM(C21),'TERM 1 SUMMARY'!$C$15:$C$115,'TERM 1 SUMMARY'!$T$15:$T$115),""))</f>
        <v/>
      </c>
      <c r="G21" s="172"/>
      <c r="H21" s="172"/>
      <c r="I21" s="33"/>
      <c r="J21" s="239" t="str">
        <f t="array" ref="J21">IF(TRIM(C21)="","",IFERROR(_xlfn.XLOOKUP(TRIM(C21),'TERM 2 SUMMARY A'!$C$15:$C$115,'TERM 2 SUMMARY A'!$T$15:T$115),""))</f>
        <v/>
      </c>
      <c r="K21" s="172"/>
      <c r="L21" s="163"/>
      <c r="M21" s="239" t="str">
        <f t="array" ref="M21">IF(TRIM(C21)="","",IFERROR(_xlfn.XLOOKUP(TRIM(C21),'TERM 3 SUMMARY B'!$C$15:$C$115,'TERM 3 SUMMARY B'!$T$15:$T$115),""))</f>
        <v/>
      </c>
      <c r="N21" s="172"/>
      <c r="O21" s="163"/>
      <c r="P21" s="240" t="str">
        <f t="shared" si="1"/>
        <v/>
      </c>
      <c r="Q21" s="172"/>
      <c r="R21" s="33"/>
      <c r="S21" s="241" t="str">
        <f t="shared" si="2"/>
        <v/>
      </c>
      <c r="T21" s="163"/>
      <c r="U21" s="17"/>
      <c r="V21" s="17"/>
      <c r="W21" s="17"/>
      <c r="X21" s="17"/>
      <c r="Y21" s="17"/>
      <c r="Z21" s="17"/>
      <c r="AA21" s="17"/>
      <c r="AB21" s="17"/>
      <c r="AC21" s="17"/>
    </row>
    <row r="22" ht="15.75" customHeight="1">
      <c r="A22" s="17"/>
      <c r="B22" s="237">
        <v>8.0</v>
      </c>
      <c r="C22" s="229" t="str">
        <f>IF('INPUT DATA'!L18="","",'INPUT DATA'!L18)</f>
        <v/>
      </c>
      <c r="D22" s="205"/>
      <c r="E22" s="205"/>
      <c r="F22" s="238" t="str">
        <f t="array" ref="F22">IF(TRIM(C22)="","",IFERROR(_xlfn.XLOOKUP(TRIM(C22),'TERM 1 SUMMARY'!$C$15:$C$115,'TERM 1 SUMMARY'!$T$15:$T$115),""))</f>
        <v/>
      </c>
      <c r="G22" s="172"/>
      <c r="H22" s="172"/>
      <c r="I22" s="33"/>
      <c r="J22" s="239" t="str">
        <f t="array" ref="J22">IF(TRIM(C22)="","",IFERROR(_xlfn.XLOOKUP(TRIM(C22),'TERM 2 SUMMARY A'!$C$15:$C$115,'TERM 2 SUMMARY A'!$T$15:T$115),""))</f>
        <v/>
      </c>
      <c r="K22" s="172"/>
      <c r="L22" s="163"/>
      <c r="M22" s="239" t="str">
        <f t="array" ref="M22">IF(TRIM(C22)="","",IFERROR(_xlfn.XLOOKUP(TRIM(C22),'TERM 3 SUMMARY B'!$C$15:$C$115,'TERM 3 SUMMARY B'!$T$15:$T$115),""))</f>
        <v/>
      </c>
      <c r="N22" s="172"/>
      <c r="O22" s="163"/>
      <c r="P22" s="240" t="str">
        <f t="shared" si="1"/>
        <v/>
      </c>
      <c r="Q22" s="172"/>
      <c r="R22" s="33"/>
      <c r="S22" s="241" t="str">
        <f t="shared" si="2"/>
        <v/>
      </c>
      <c r="T22" s="163"/>
      <c r="U22" s="17"/>
      <c r="V22" s="17"/>
      <c r="W22" s="17"/>
      <c r="X22" s="17"/>
      <c r="Y22" s="17"/>
      <c r="Z22" s="17"/>
      <c r="AA22" s="17"/>
      <c r="AB22" s="17"/>
      <c r="AC22" s="17"/>
    </row>
    <row r="23" ht="15.75" customHeight="1">
      <c r="A23" s="17"/>
      <c r="B23" s="237">
        <v>9.0</v>
      </c>
      <c r="C23" s="229" t="str">
        <f>IF('INPUT DATA'!L19="","",'INPUT DATA'!L19)</f>
        <v/>
      </c>
      <c r="D23" s="205"/>
      <c r="E23" s="205"/>
      <c r="F23" s="238" t="str">
        <f t="array" ref="F23">IF(TRIM(C23)="","",IFERROR(_xlfn.XLOOKUP(TRIM(C23),'TERM 1 SUMMARY'!$C$15:$C$115,'TERM 1 SUMMARY'!$T$15:$T$115),""))</f>
        <v/>
      </c>
      <c r="G23" s="172"/>
      <c r="H23" s="172"/>
      <c r="I23" s="33"/>
      <c r="J23" s="239" t="str">
        <f t="array" ref="J23">IF(TRIM(C23)="","",IFERROR(_xlfn.XLOOKUP(TRIM(C23),'TERM 2 SUMMARY A'!$C$15:$C$115,'TERM 2 SUMMARY A'!$T$15:T$115),""))</f>
        <v/>
      </c>
      <c r="K23" s="172"/>
      <c r="L23" s="163"/>
      <c r="M23" s="239" t="str">
        <f t="array" ref="M23">IF(TRIM(C23)="","",IFERROR(_xlfn.XLOOKUP(TRIM(C23),'TERM 3 SUMMARY B'!$C$15:$C$115,'TERM 3 SUMMARY B'!$T$15:$T$115),""))</f>
        <v/>
      </c>
      <c r="N23" s="172"/>
      <c r="O23" s="163"/>
      <c r="P23" s="240" t="str">
        <f t="shared" si="1"/>
        <v/>
      </c>
      <c r="Q23" s="172"/>
      <c r="R23" s="33"/>
      <c r="S23" s="241" t="str">
        <f t="shared" si="2"/>
        <v/>
      </c>
      <c r="T23" s="163"/>
      <c r="U23" s="17"/>
      <c r="V23" s="17"/>
      <c r="W23" s="17"/>
      <c r="X23" s="17"/>
      <c r="Y23" s="17"/>
      <c r="Z23" s="17"/>
      <c r="AA23" s="17"/>
      <c r="AB23" s="17"/>
      <c r="AC23" s="17"/>
    </row>
    <row r="24" ht="15.75" customHeight="1">
      <c r="A24" s="17"/>
      <c r="B24" s="237">
        <v>10.0</v>
      </c>
      <c r="C24" s="229" t="str">
        <f>IF('INPUT DATA'!L20="","",'INPUT DATA'!L20)</f>
        <v/>
      </c>
      <c r="D24" s="205"/>
      <c r="E24" s="205"/>
      <c r="F24" s="238" t="str">
        <f t="array" ref="F24">IF(TRIM(C24)="","",IFERROR(_xlfn.XLOOKUP(TRIM(C24),'TERM 1 SUMMARY'!$C$15:$C$115,'TERM 1 SUMMARY'!$T$15:$T$115),""))</f>
        <v/>
      </c>
      <c r="G24" s="172"/>
      <c r="H24" s="172"/>
      <c r="I24" s="33"/>
      <c r="J24" s="239" t="str">
        <f t="array" ref="J24">IF(TRIM(C24)="","",IFERROR(_xlfn.XLOOKUP(TRIM(C24),'TERM 2 SUMMARY A'!$C$15:$C$115,'TERM 2 SUMMARY A'!$T$15:T$115),""))</f>
        <v/>
      </c>
      <c r="K24" s="172"/>
      <c r="L24" s="163"/>
      <c r="M24" s="239" t="str">
        <f t="array" ref="M24">IF(TRIM(C24)="","",IFERROR(_xlfn.XLOOKUP(TRIM(C24),'TERM 3 SUMMARY B'!$C$15:$C$115,'TERM 3 SUMMARY B'!$T$15:$T$115),""))</f>
        <v/>
      </c>
      <c r="N24" s="172"/>
      <c r="O24" s="163"/>
      <c r="P24" s="240" t="str">
        <f t="shared" si="1"/>
        <v/>
      </c>
      <c r="Q24" s="172"/>
      <c r="R24" s="33"/>
      <c r="S24" s="241" t="str">
        <f t="shared" si="2"/>
        <v/>
      </c>
      <c r="T24" s="163"/>
      <c r="U24" s="17"/>
      <c r="V24" s="17"/>
      <c r="W24" s="17"/>
      <c r="X24" s="17"/>
      <c r="Y24" s="17"/>
      <c r="Z24" s="17"/>
      <c r="AA24" s="17"/>
      <c r="AB24" s="17"/>
      <c r="AC24" s="17"/>
    </row>
    <row r="25" ht="15.75" customHeight="1">
      <c r="A25" s="17"/>
      <c r="B25" s="237">
        <v>11.0</v>
      </c>
      <c r="C25" s="229" t="str">
        <f>IF('INPUT DATA'!L21="","",'INPUT DATA'!L21)</f>
        <v/>
      </c>
      <c r="D25" s="205"/>
      <c r="E25" s="205"/>
      <c r="F25" s="238" t="str">
        <f t="array" ref="F25">IF(TRIM(C25)="","",IFERROR(_xlfn.XLOOKUP(TRIM(C25),'TERM 1 SUMMARY'!$C$15:$C$115,'TERM 1 SUMMARY'!$T$15:$T$115),""))</f>
        <v/>
      </c>
      <c r="G25" s="172"/>
      <c r="H25" s="172"/>
      <c r="I25" s="33"/>
      <c r="J25" s="239" t="str">
        <f t="array" ref="J25">IF(TRIM(C25)="","",IFERROR(_xlfn.XLOOKUP(TRIM(C25),'TERM 2 SUMMARY A'!$C$15:$C$115,'TERM 2 SUMMARY A'!$T$15:T$115),""))</f>
        <v/>
      </c>
      <c r="K25" s="172"/>
      <c r="L25" s="163"/>
      <c r="M25" s="239" t="str">
        <f t="array" ref="M25">IF(TRIM(C25)="","",IFERROR(_xlfn.XLOOKUP(TRIM(C25),'TERM 3 SUMMARY B'!$C$15:$C$115,'TERM 3 SUMMARY B'!$T$15:$T$115),""))</f>
        <v/>
      </c>
      <c r="N25" s="172"/>
      <c r="O25" s="163"/>
      <c r="P25" s="240" t="str">
        <f t="shared" si="1"/>
        <v/>
      </c>
      <c r="Q25" s="172"/>
      <c r="R25" s="33"/>
      <c r="S25" s="241" t="str">
        <f t="shared" si="2"/>
        <v/>
      </c>
      <c r="T25" s="163"/>
      <c r="U25" s="17"/>
      <c r="V25" s="17"/>
      <c r="W25" s="17"/>
      <c r="X25" s="17"/>
      <c r="Y25" s="17"/>
      <c r="Z25" s="17"/>
      <c r="AA25" s="17"/>
      <c r="AB25" s="17"/>
      <c r="AC25" s="17"/>
    </row>
    <row r="26" ht="15.75" customHeight="1">
      <c r="A26" s="17"/>
      <c r="B26" s="237">
        <v>12.0</v>
      </c>
      <c r="C26" s="229" t="str">
        <f>IF('INPUT DATA'!L22="","",'INPUT DATA'!L22)</f>
        <v/>
      </c>
      <c r="D26" s="205"/>
      <c r="E26" s="205"/>
      <c r="F26" s="238" t="str">
        <f t="array" ref="F26">IF(TRIM(C26)="","",IFERROR(_xlfn.XLOOKUP(TRIM(C26),'TERM 1 SUMMARY'!$C$15:$C$115,'TERM 1 SUMMARY'!$T$15:$T$115),""))</f>
        <v/>
      </c>
      <c r="G26" s="172"/>
      <c r="H26" s="172"/>
      <c r="I26" s="33"/>
      <c r="J26" s="239" t="str">
        <f t="array" ref="J26">IF(TRIM(C26)="","",IFERROR(_xlfn.XLOOKUP(TRIM(C26),'TERM 2 SUMMARY A'!$C$15:$C$115,'TERM 2 SUMMARY A'!$T$15:T$115),""))</f>
        <v/>
      </c>
      <c r="K26" s="172"/>
      <c r="L26" s="163"/>
      <c r="M26" s="239" t="str">
        <f t="array" ref="M26">IF(TRIM(C26)="","",IFERROR(_xlfn.XLOOKUP(TRIM(C26),'TERM 3 SUMMARY B'!$C$15:$C$115,'TERM 3 SUMMARY B'!$T$15:$T$115),""))</f>
        <v/>
      </c>
      <c r="N26" s="172"/>
      <c r="O26" s="163"/>
      <c r="P26" s="240" t="str">
        <f t="shared" si="1"/>
        <v/>
      </c>
      <c r="Q26" s="172"/>
      <c r="R26" s="33"/>
      <c r="S26" s="241" t="str">
        <f t="shared" si="2"/>
        <v/>
      </c>
      <c r="T26" s="163"/>
      <c r="U26" s="17"/>
      <c r="V26" s="17"/>
      <c r="W26" s="17"/>
      <c r="X26" s="17"/>
      <c r="Y26" s="17"/>
      <c r="Z26" s="17"/>
      <c r="AA26" s="17"/>
      <c r="AB26" s="17"/>
      <c r="AC26" s="17"/>
    </row>
    <row r="27" ht="15.75" customHeight="1">
      <c r="A27" s="17"/>
      <c r="B27" s="237">
        <v>13.0</v>
      </c>
      <c r="C27" s="229" t="str">
        <f>IF('INPUT DATA'!L23="","",'INPUT DATA'!L23)</f>
        <v/>
      </c>
      <c r="D27" s="205"/>
      <c r="E27" s="205"/>
      <c r="F27" s="238" t="str">
        <f t="array" ref="F27">IF(TRIM(C27)="","",IFERROR(_xlfn.XLOOKUP(TRIM(C27),'TERM 1 SUMMARY'!$C$15:$C$115,'TERM 1 SUMMARY'!$T$15:$T$115),""))</f>
        <v/>
      </c>
      <c r="G27" s="172"/>
      <c r="H27" s="172"/>
      <c r="I27" s="33"/>
      <c r="J27" s="239" t="str">
        <f t="array" ref="J27">IF(TRIM(C27)="","",IFERROR(_xlfn.XLOOKUP(TRIM(C27),'TERM 2 SUMMARY A'!$C$15:$C$115,'TERM 2 SUMMARY A'!$T$15:T$115),""))</f>
        <v/>
      </c>
      <c r="K27" s="172"/>
      <c r="L27" s="163"/>
      <c r="M27" s="239" t="str">
        <f t="array" ref="M27">IF(TRIM(C27)="","",IFERROR(_xlfn.XLOOKUP(TRIM(C27),'TERM 3 SUMMARY B'!$C$15:$C$115,'TERM 3 SUMMARY B'!$T$15:$T$115),""))</f>
        <v/>
      </c>
      <c r="N27" s="172"/>
      <c r="O27" s="163"/>
      <c r="P27" s="240" t="str">
        <f t="shared" si="1"/>
        <v/>
      </c>
      <c r="Q27" s="172"/>
      <c r="R27" s="33"/>
      <c r="S27" s="241" t="str">
        <f t="shared" si="2"/>
        <v/>
      </c>
      <c r="T27" s="163"/>
      <c r="U27" s="17"/>
      <c r="V27" s="17"/>
      <c r="W27" s="17"/>
      <c r="X27" s="17"/>
      <c r="Y27" s="17"/>
      <c r="Z27" s="17"/>
      <c r="AA27" s="17"/>
      <c r="AB27" s="17"/>
      <c r="AC27" s="17"/>
    </row>
    <row r="28" ht="15.75" customHeight="1">
      <c r="A28" s="17"/>
      <c r="B28" s="237">
        <v>14.0</v>
      </c>
      <c r="C28" s="229" t="str">
        <f>IF('INPUT DATA'!L24="","",'INPUT DATA'!L24)</f>
        <v/>
      </c>
      <c r="D28" s="205"/>
      <c r="E28" s="205"/>
      <c r="F28" s="238" t="str">
        <f t="array" ref="F28">IF(TRIM(C28)="","",IFERROR(_xlfn.XLOOKUP(TRIM(C28),'TERM 1 SUMMARY'!$C$15:$C$115,'TERM 1 SUMMARY'!$T$15:$T$115),""))</f>
        <v/>
      </c>
      <c r="G28" s="172"/>
      <c r="H28" s="172"/>
      <c r="I28" s="33"/>
      <c r="J28" s="239" t="str">
        <f t="array" ref="J28">IF(TRIM(C28)="","",IFERROR(_xlfn.XLOOKUP(TRIM(C28),'TERM 2 SUMMARY A'!$C$15:$C$115,'TERM 2 SUMMARY A'!$T$15:T$115),""))</f>
        <v/>
      </c>
      <c r="K28" s="172"/>
      <c r="L28" s="163"/>
      <c r="M28" s="239" t="str">
        <f t="array" ref="M28">IF(TRIM(C28)="","",IFERROR(_xlfn.XLOOKUP(TRIM(C28),'TERM 3 SUMMARY B'!$C$15:$C$115,'TERM 3 SUMMARY B'!$T$15:$T$115),""))</f>
        <v/>
      </c>
      <c r="N28" s="172"/>
      <c r="O28" s="163"/>
      <c r="P28" s="240" t="str">
        <f t="shared" si="1"/>
        <v/>
      </c>
      <c r="Q28" s="172"/>
      <c r="R28" s="33"/>
      <c r="S28" s="241" t="str">
        <f t="shared" si="2"/>
        <v/>
      </c>
      <c r="T28" s="163"/>
      <c r="U28" s="17"/>
      <c r="V28" s="17"/>
      <c r="W28" s="17"/>
      <c r="X28" s="17"/>
      <c r="Y28" s="17"/>
      <c r="Z28" s="17"/>
      <c r="AA28" s="17"/>
      <c r="AB28" s="17"/>
      <c r="AC28" s="17"/>
    </row>
    <row r="29" ht="15.75" customHeight="1">
      <c r="A29" s="17"/>
      <c r="B29" s="237">
        <v>15.0</v>
      </c>
      <c r="C29" s="229" t="str">
        <f>IF('INPUT DATA'!L25="","",'INPUT DATA'!L25)</f>
        <v/>
      </c>
      <c r="D29" s="205"/>
      <c r="E29" s="205"/>
      <c r="F29" s="238" t="str">
        <f t="array" ref="F29">IF(TRIM(C29)="","",IFERROR(_xlfn.XLOOKUP(TRIM(C29),'TERM 1 SUMMARY'!$C$15:$C$115,'TERM 1 SUMMARY'!$T$15:$T$115),""))</f>
        <v/>
      </c>
      <c r="G29" s="172"/>
      <c r="H29" s="172"/>
      <c r="I29" s="33"/>
      <c r="J29" s="239" t="str">
        <f t="array" ref="J29">IF(TRIM(C29)="","",IFERROR(_xlfn.XLOOKUP(TRIM(C29),'TERM 2 SUMMARY A'!$C$15:$C$115,'TERM 2 SUMMARY A'!$T$15:T$115),""))</f>
        <v/>
      </c>
      <c r="K29" s="172"/>
      <c r="L29" s="163"/>
      <c r="M29" s="239" t="str">
        <f t="array" ref="M29">IF(TRIM(C29)="","",IFERROR(_xlfn.XLOOKUP(TRIM(C29),'TERM 3 SUMMARY B'!$C$15:$C$115,'TERM 3 SUMMARY B'!$T$15:$T$115),""))</f>
        <v/>
      </c>
      <c r="N29" s="172"/>
      <c r="O29" s="163"/>
      <c r="P29" s="240" t="str">
        <f t="shared" si="1"/>
        <v/>
      </c>
      <c r="Q29" s="172"/>
      <c r="R29" s="33"/>
      <c r="S29" s="241" t="str">
        <f t="shared" si="2"/>
        <v/>
      </c>
      <c r="T29" s="163"/>
      <c r="U29" s="17"/>
      <c r="V29" s="17"/>
      <c r="W29" s="17"/>
      <c r="X29" s="17"/>
      <c r="Y29" s="17"/>
      <c r="Z29" s="17"/>
      <c r="AA29" s="17"/>
      <c r="AB29" s="17"/>
      <c r="AC29" s="17"/>
    </row>
    <row r="30" ht="15.75" customHeight="1">
      <c r="A30" s="17"/>
      <c r="B30" s="237">
        <v>16.0</v>
      </c>
      <c r="C30" s="229" t="str">
        <f>IF('INPUT DATA'!L26="","",'INPUT DATA'!L26)</f>
        <v/>
      </c>
      <c r="D30" s="205"/>
      <c r="E30" s="205"/>
      <c r="F30" s="238" t="str">
        <f t="array" ref="F30">IF(TRIM(C30)="","",IFERROR(_xlfn.XLOOKUP(TRIM(C30),'TERM 1 SUMMARY'!$C$15:$C$115,'TERM 1 SUMMARY'!$T$15:$T$115),""))</f>
        <v/>
      </c>
      <c r="G30" s="172"/>
      <c r="H30" s="172"/>
      <c r="I30" s="33"/>
      <c r="J30" s="239" t="str">
        <f t="array" ref="J30">IF(TRIM(C30)="","",IFERROR(_xlfn.XLOOKUP(TRIM(C30),'TERM 2 SUMMARY A'!$C$15:$C$115,'TERM 2 SUMMARY A'!$T$15:T$115),""))</f>
        <v/>
      </c>
      <c r="K30" s="172"/>
      <c r="L30" s="163"/>
      <c r="M30" s="239" t="str">
        <f t="array" ref="M30">IF(TRIM(C30)="","",IFERROR(_xlfn.XLOOKUP(TRIM(C30),'TERM 3 SUMMARY B'!$C$15:$C$115,'TERM 3 SUMMARY B'!$T$15:$T$115),""))</f>
        <v/>
      </c>
      <c r="N30" s="172"/>
      <c r="O30" s="163"/>
      <c r="P30" s="240" t="str">
        <f t="shared" si="1"/>
        <v/>
      </c>
      <c r="Q30" s="172"/>
      <c r="R30" s="33"/>
      <c r="S30" s="241" t="str">
        <f t="shared" si="2"/>
        <v/>
      </c>
      <c r="T30" s="163"/>
      <c r="U30" s="17"/>
      <c r="V30" s="17"/>
      <c r="W30" s="17"/>
      <c r="X30" s="17"/>
      <c r="Y30" s="17"/>
      <c r="Z30" s="17"/>
      <c r="AA30" s="17"/>
      <c r="AB30" s="17"/>
      <c r="AC30" s="17"/>
    </row>
    <row r="31" ht="15.75" customHeight="1">
      <c r="A31" s="17"/>
      <c r="B31" s="237">
        <v>17.0</v>
      </c>
      <c r="C31" s="229" t="str">
        <f>IF('INPUT DATA'!L27="","",'INPUT DATA'!L27)</f>
        <v/>
      </c>
      <c r="D31" s="205"/>
      <c r="E31" s="205"/>
      <c r="F31" s="238" t="str">
        <f t="array" ref="F31">IF(TRIM(C31)="","",IFERROR(_xlfn.XLOOKUP(TRIM(C31),'TERM 1 SUMMARY'!$C$15:$C$115,'TERM 1 SUMMARY'!$T$15:$T$115),""))</f>
        <v/>
      </c>
      <c r="G31" s="172"/>
      <c r="H31" s="172"/>
      <c r="I31" s="33"/>
      <c r="J31" s="239" t="str">
        <f t="array" ref="J31">IF(TRIM(C31)="","",IFERROR(_xlfn.XLOOKUP(TRIM(C31),'TERM 2 SUMMARY A'!$C$15:$C$115,'TERM 2 SUMMARY A'!$T$15:T$115),""))</f>
        <v/>
      </c>
      <c r="K31" s="172"/>
      <c r="L31" s="163"/>
      <c r="M31" s="239" t="str">
        <f t="array" ref="M31">IF(TRIM(C31)="","",IFERROR(_xlfn.XLOOKUP(TRIM(C31),'TERM 3 SUMMARY B'!$C$15:$C$115,'TERM 3 SUMMARY B'!$T$15:$T$115),""))</f>
        <v/>
      </c>
      <c r="N31" s="172"/>
      <c r="O31" s="163"/>
      <c r="P31" s="240" t="str">
        <f t="shared" si="1"/>
        <v/>
      </c>
      <c r="Q31" s="172"/>
      <c r="R31" s="33"/>
      <c r="S31" s="241" t="str">
        <f t="shared" si="2"/>
        <v/>
      </c>
      <c r="T31" s="163"/>
      <c r="U31" s="17"/>
      <c r="V31" s="17"/>
      <c r="W31" s="17"/>
      <c r="X31" s="17"/>
      <c r="Y31" s="17"/>
      <c r="Z31" s="17"/>
      <c r="AA31" s="17"/>
      <c r="AB31" s="17"/>
      <c r="AC31" s="17"/>
    </row>
    <row r="32" ht="15.75" customHeight="1">
      <c r="A32" s="17"/>
      <c r="B32" s="237">
        <v>18.0</v>
      </c>
      <c r="C32" s="229" t="str">
        <f>IF('INPUT DATA'!L28="","",'INPUT DATA'!L28)</f>
        <v/>
      </c>
      <c r="D32" s="205"/>
      <c r="E32" s="205"/>
      <c r="F32" s="238" t="str">
        <f t="array" ref="F32">IF(TRIM(C32)="","",IFERROR(_xlfn.XLOOKUP(TRIM(C32),'TERM 1 SUMMARY'!$C$15:$C$115,'TERM 1 SUMMARY'!$T$15:$T$115),""))</f>
        <v/>
      </c>
      <c r="G32" s="172"/>
      <c r="H32" s="172"/>
      <c r="I32" s="33"/>
      <c r="J32" s="239" t="str">
        <f t="array" ref="J32">IF(TRIM(C32)="","",IFERROR(_xlfn.XLOOKUP(TRIM(C32),'TERM 2 SUMMARY A'!$C$15:$C$115,'TERM 2 SUMMARY A'!$T$15:T$115),""))</f>
        <v/>
      </c>
      <c r="K32" s="172"/>
      <c r="L32" s="163"/>
      <c r="M32" s="239" t="str">
        <f t="array" ref="M32">IF(TRIM(C32)="","",IFERROR(_xlfn.XLOOKUP(TRIM(C32),'TERM 3 SUMMARY B'!$C$15:$C$115,'TERM 3 SUMMARY B'!$T$15:$T$115),""))</f>
        <v/>
      </c>
      <c r="N32" s="172"/>
      <c r="O32" s="163"/>
      <c r="P32" s="240" t="str">
        <f t="shared" si="1"/>
        <v/>
      </c>
      <c r="Q32" s="172"/>
      <c r="R32" s="33"/>
      <c r="S32" s="241" t="str">
        <f t="shared" si="2"/>
        <v/>
      </c>
      <c r="T32" s="163"/>
      <c r="U32" s="17"/>
      <c r="V32" s="17"/>
      <c r="W32" s="17"/>
      <c r="X32" s="17"/>
      <c r="Y32" s="17"/>
      <c r="Z32" s="17"/>
      <c r="AA32" s="17"/>
      <c r="AB32" s="17"/>
      <c r="AC32" s="17"/>
    </row>
    <row r="33" ht="15.75" customHeight="1">
      <c r="A33" s="17"/>
      <c r="B33" s="237">
        <v>19.0</v>
      </c>
      <c r="C33" s="229" t="str">
        <f>IF('INPUT DATA'!L29="","",'INPUT DATA'!L29)</f>
        <v/>
      </c>
      <c r="D33" s="205"/>
      <c r="E33" s="205"/>
      <c r="F33" s="238" t="str">
        <f t="array" ref="F33">IF(TRIM(C33)="","",IFERROR(_xlfn.XLOOKUP(TRIM(C33),'TERM 1 SUMMARY'!$C$15:$C$115,'TERM 1 SUMMARY'!$T$15:$T$115),""))</f>
        <v/>
      </c>
      <c r="G33" s="172"/>
      <c r="H33" s="172"/>
      <c r="I33" s="33"/>
      <c r="J33" s="239" t="str">
        <f t="array" ref="J33">IF(TRIM(C33)="","",IFERROR(_xlfn.XLOOKUP(TRIM(C33),'TERM 2 SUMMARY A'!$C$15:$C$115,'TERM 2 SUMMARY A'!$T$15:T$115),""))</f>
        <v/>
      </c>
      <c r="K33" s="172"/>
      <c r="L33" s="163"/>
      <c r="M33" s="239" t="str">
        <f t="array" ref="M33">IF(TRIM(C33)="","",IFERROR(_xlfn.XLOOKUP(TRIM(C33),'TERM 3 SUMMARY B'!$C$15:$C$115,'TERM 3 SUMMARY B'!$T$15:$T$115),""))</f>
        <v/>
      </c>
      <c r="N33" s="172"/>
      <c r="O33" s="163"/>
      <c r="P33" s="240" t="str">
        <f t="shared" si="1"/>
        <v/>
      </c>
      <c r="Q33" s="172"/>
      <c r="R33" s="33"/>
      <c r="S33" s="241" t="str">
        <f t="shared" si="2"/>
        <v/>
      </c>
      <c r="T33" s="163"/>
      <c r="U33" s="17"/>
      <c r="V33" s="17"/>
      <c r="W33" s="17"/>
      <c r="X33" s="17"/>
      <c r="Y33" s="17"/>
      <c r="Z33" s="17"/>
      <c r="AA33" s="17"/>
      <c r="AB33" s="17"/>
      <c r="AC33" s="17"/>
    </row>
    <row r="34" ht="15.75" customHeight="1">
      <c r="A34" s="17"/>
      <c r="B34" s="333">
        <v>20.0</v>
      </c>
      <c r="C34" s="229" t="str">
        <f>IF('INPUT DATA'!L30="","",'INPUT DATA'!L30)</f>
        <v/>
      </c>
      <c r="D34" s="205"/>
      <c r="E34" s="205"/>
      <c r="F34" s="238" t="str">
        <f t="array" ref="F34">IF(TRIM(C34)="","",IFERROR(_xlfn.XLOOKUP(TRIM(C34),'TERM 1 SUMMARY'!$C$15:$C$115,'TERM 1 SUMMARY'!$T$15:$T$115),""))</f>
        <v/>
      </c>
      <c r="G34" s="172"/>
      <c r="H34" s="172"/>
      <c r="I34" s="33"/>
      <c r="J34" s="239" t="str">
        <f t="array" ref="J34">IF(TRIM(C34)="","",IFERROR(_xlfn.XLOOKUP(TRIM(C34),'TERM 2 SUMMARY A'!$C$15:$C$115,'TERM 2 SUMMARY A'!$T$15:T$115),""))</f>
        <v/>
      </c>
      <c r="K34" s="172"/>
      <c r="L34" s="163"/>
      <c r="M34" s="239" t="str">
        <f t="array" ref="M34">IF(TRIM(C34)="","",IFERROR(_xlfn.XLOOKUP(TRIM(C34),'TERM 3 SUMMARY B'!$C$15:$C$115,'TERM 3 SUMMARY B'!$T$15:$T$115),""))</f>
        <v/>
      </c>
      <c r="N34" s="172"/>
      <c r="O34" s="163"/>
      <c r="P34" s="240" t="str">
        <f t="shared" si="1"/>
        <v/>
      </c>
      <c r="Q34" s="172"/>
      <c r="R34" s="33"/>
      <c r="S34" s="241" t="str">
        <f t="shared" si="2"/>
        <v/>
      </c>
      <c r="T34" s="163"/>
      <c r="U34" s="17"/>
      <c r="V34" s="17"/>
      <c r="W34" s="17"/>
      <c r="X34" s="17"/>
      <c r="Y34" s="17"/>
      <c r="Z34" s="17"/>
      <c r="AA34" s="17"/>
      <c r="AB34" s="17"/>
      <c r="AC34" s="17"/>
    </row>
    <row r="35" ht="15.75" customHeight="1">
      <c r="A35" s="17"/>
      <c r="B35" s="333">
        <v>21.0</v>
      </c>
      <c r="C35" s="229" t="str">
        <f>IF('INPUT DATA'!L31="","",'INPUT DATA'!L31)</f>
        <v/>
      </c>
      <c r="D35" s="205"/>
      <c r="E35" s="205"/>
      <c r="F35" s="238" t="str">
        <f t="array" ref="F35">IF(TRIM(C35)="","",IFERROR(_xlfn.XLOOKUP(TRIM(C35),'TERM 1 SUMMARY'!$C$15:$C$115,'TERM 1 SUMMARY'!$T$15:$T$115),""))</f>
        <v/>
      </c>
      <c r="G35" s="172"/>
      <c r="H35" s="172"/>
      <c r="I35" s="33"/>
      <c r="J35" s="239" t="str">
        <f t="array" ref="J35">IF(TRIM(C35)="","",IFERROR(_xlfn.XLOOKUP(TRIM(C35),'TERM 2 SUMMARY A'!$C$15:$C$115,'TERM 2 SUMMARY A'!$T$15:T$115),""))</f>
        <v/>
      </c>
      <c r="K35" s="172"/>
      <c r="L35" s="163"/>
      <c r="M35" s="239" t="str">
        <f t="array" ref="M35">IF(TRIM(C35)="","",IFERROR(_xlfn.XLOOKUP(TRIM(C35),'TERM 3 SUMMARY B'!$C$15:$C$115,'TERM 3 SUMMARY B'!$T$15:$T$115),""))</f>
        <v/>
      </c>
      <c r="N35" s="172"/>
      <c r="O35" s="163"/>
      <c r="P35" s="240" t="str">
        <f t="shared" si="1"/>
        <v/>
      </c>
      <c r="Q35" s="172"/>
      <c r="R35" s="33"/>
      <c r="S35" s="241" t="str">
        <f t="shared" si="2"/>
        <v/>
      </c>
      <c r="T35" s="163"/>
      <c r="U35" s="17"/>
      <c r="V35" s="17"/>
      <c r="W35" s="17"/>
      <c r="X35" s="17"/>
      <c r="Y35" s="17"/>
      <c r="Z35" s="17"/>
      <c r="AA35" s="17"/>
      <c r="AB35" s="17"/>
      <c r="AC35" s="17"/>
    </row>
    <row r="36" ht="15.75" customHeight="1">
      <c r="A36" s="17"/>
      <c r="B36" s="333">
        <v>22.0</v>
      </c>
      <c r="C36" s="229" t="str">
        <f>IF('INPUT DATA'!L32="","",'INPUT DATA'!L32)</f>
        <v/>
      </c>
      <c r="D36" s="205"/>
      <c r="E36" s="205"/>
      <c r="F36" s="238" t="str">
        <f t="array" ref="F36">IF(TRIM(C36)="","",IFERROR(_xlfn.XLOOKUP(TRIM(C36),'TERM 1 SUMMARY'!$C$15:$C$115,'TERM 1 SUMMARY'!$T$15:$T$115),""))</f>
        <v/>
      </c>
      <c r="G36" s="172"/>
      <c r="H36" s="172"/>
      <c r="I36" s="33"/>
      <c r="J36" s="239" t="str">
        <f t="array" ref="J36">IF(TRIM(C36)="","",IFERROR(_xlfn.XLOOKUP(TRIM(C36),'TERM 2 SUMMARY A'!$C$15:$C$115,'TERM 2 SUMMARY A'!$T$15:T$115),""))</f>
        <v/>
      </c>
      <c r="K36" s="172"/>
      <c r="L36" s="163"/>
      <c r="M36" s="239" t="str">
        <f t="array" ref="M36">IF(TRIM(C36)="","",IFERROR(_xlfn.XLOOKUP(TRIM(C36),'TERM 3 SUMMARY B'!$C$15:$C$115,'TERM 3 SUMMARY B'!$T$15:$T$115),""))</f>
        <v/>
      </c>
      <c r="N36" s="172"/>
      <c r="O36" s="163"/>
      <c r="P36" s="240" t="str">
        <f t="shared" si="1"/>
        <v/>
      </c>
      <c r="Q36" s="172"/>
      <c r="R36" s="33"/>
      <c r="S36" s="241" t="str">
        <f t="shared" si="2"/>
        <v/>
      </c>
      <c r="T36" s="163"/>
      <c r="U36" s="17"/>
      <c r="V36" s="17"/>
      <c r="W36" s="17"/>
      <c r="X36" s="17"/>
      <c r="Y36" s="17"/>
      <c r="Z36" s="17"/>
      <c r="AA36" s="17"/>
      <c r="AB36" s="17"/>
      <c r="AC36" s="17"/>
    </row>
    <row r="37" ht="15.75" customHeight="1">
      <c r="A37" s="17"/>
      <c r="B37" s="333">
        <v>23.0</v>
      </c>
      <c r="C37" s="229" t="str">
        <f>IF('INPUT DATA'!L33="","",'INPUT DATA'!L33)</f>
        <v/>
      </c>
      <c r="D37" s="205"/>
      <c r="E37" s="205"/>
      <c r="F37" s="238" t="str">
        <f t="array" ref="F37">IF(TRIM(C37)="","",IFERROR(_xlfn.XLOOKUP(TRIM(C37),'TERM 1 SUMMARY'!$C$15:$C$115,'TERM 1 SUMMARY'!$T$15:$T$115),""))</f>
        <v/>
      </c>
      <c r="G37" s="172"/>
      <c r="H37" s="172"/>
      <c r="I37" s="33"/>
      <c r="J37" s="239" t="str">
        <f t="array" ref="J37">IF(TRIM(C37)="","",IFERROR(_xlfn.XLOOKUP(TRIM(C37),'TERM 2 SUMMARY A'!$C$15:$C$115,'TERM 2 SUMMARY A'!$T$15:T$115),""))</f>
        <v/>
      </c>
      <c r="K37" s="172"/>
      <c r="L37" s="163"/>
      <c r="M37" s="239" t="str">
        <f t="array" ref="M37">IF(TRIM(C37)="","",IFERROR(_xlfn.XLOOKUP(TRIM(C37),'TERM 3 SUMMARY B'!$C$15:$C$115,'TERM 3 SUMMARY B'!$T$15:$T$115),""))</f>
        <v/>
      </c>
      <c r="N37" s="172"/>
      <c r="O37" s="163"/>
      <c r="P37" s="240" t="str">
        <f t="shared" si="1"/>
        <v/>
      </c>
      <c r="Q37" s="172"/>
      <c r="R37" s="33"/>
      <c r="S37" s="241" t="str">
        <f t="shared" si="2"/>
        <v/>
      </c>
      <c r="T37" s="163"/>
      <c r="U37" s="17"/>
      <c r="V37" s="17"/>
      <c r="W37" s="17"/>
      <c r="X37" s="17"/>
      <c r="Y37" s="17"/>
      <c r="Z37" s="17"/>
      <c r="AA37" s="17"/>
      <c r="AB37" s="17"/>
      <c r="AC37" s="17"/>
    </row>
    <row r="38" ht="15.75" customHeight="1">
      <c r="A38" s="17"/>
      <c r="B38" s="333">
        <v>24.0</v>
      </c>
      <c r="C38" s="229" t="str">
        <f>IF('INPUT DATA'!L34="","",'INPUT DATA'!L34)</f>
        <v/>
      </c>
      <c r="D38" s="205"/>
      <c r="E38" s="205"/>
      <c r="F38" s="238" t="str">
        <f t="array" ref="F38">IF(TRIM(C38)="","",IFERROR(_xlfn.XLOOKUP(TRIM(C38),'TERM 1 SUMMARY'!$C$15:$C$115,'TERM 1 SUMMARY'!$T$15:$T$115),""))</f>
        <v/>
      </c>
      <c r="G38" s="172"/>
      <c r="H38" s="172"/>
      <c r="I38" s="33"/>
      <c r="J38" s="239" t="str">
        <f t="array" ref="J38">IF(TRIM(C38)="","",IFERROR(_xlfn.XLOOKUP(TRIM(C38),'TERM 2 SUMMARY A'!$C$15:$C$115,'TERM 2 SUMMARY A'!$T$15:T$115),""))</f>
        <v/>
      </c>
      <c r="K38" s="172"/>
      <c r="L38" s="163"/>
      <c r="M38" s="239" t="str">
        <f t="array" ref="M38">IF(TRIM(C38)="","",IFERROR(_xlfn.XLOOKUP(TRIM(C38),'TERM 3 SUMMARY B'!$C$15:$C$115,'TERM 3 SUMMARY B'!$T$15:$T$115),""))</f>
        <v/>
      </c>
      <c r="N38" s="172"/>
      <c r="O38" s="163"/>
      <c r="P38" s="240" t="str">
        <f t="shared" si="1"/>
        <v/>
      </c>
      <c r="Q38" s="172"/>
      <c r="R38" s="33"/>
      <c r="S38" s="241" t="str">
        <f t="shared" si="2"/>
        <v/>
      </c>
      <c r="T38" s="163"/>
      <c r="U38" s="17"/>
      <c r="V38" s="17"/>
      <c r="W38" s="17"/>
      <c r="X38" s="17"/>
      <c r="Y38" s="17"/>
      <c r="Z38" s="17"/>
      <c r="AA38" s="17"/>
      <c r="AB38" s="17"/>
      <c r="AC38" s="17"/>
    </row>
    <row r="39" ht="15.75" customHeight="1">
      <c r="A39" s="17"/>
      <c r="B39" s="333">
        <v>25.0</v>
      </c>
      <c r="C39" s="229" t="str">
        <f>IF('INPUT DATA'!L35="","",'INPUT DATA'!L35)</f>
        <v/>
      </c>
      <c r="D39" s="205"/>
      <c r="E39" s="205"/>
      <c r="F39" s="238" t="str">
        <f t="array" ref="F39">IF(TRIM(C39)="","",IFERROR(_xlfn.XLOOKUP(TRIM(C39),'TERM 1 SUMMARY'!$C$15:$C$115,'TERM 1 SUMMARY'!$T$15:$T$115),""))</f>
        <v/>
      </c>
      <c r="G39" s="172"/>
      <c r="H39" s="172"/>
      <c r="I39" s="33"/>
      <c r="J39" s="239" t="str">
        <f t="array" ref="J39">IF(TRIM(C39)="","",IFERROR(_xlfn.XLOOKUP(TRIM(C39),'TERM 2 SUMMARY A'!$C$15:$C$115,'TERM 2 SUMMARY A'!$T$15:T$115),""))</f>
        <v/>
      </c>
      <c r="K39" s="172"/>
      <c r="L39" s="163"/>
      <c r="M39" s="239" t="str">
        <f t="array" ref="M39">IF(TRIM(C39)="","",IFERROR(_xlfn.XLOOKUP(TRIM(C39),'TERM 3 SUMMARY B'!$C$15:$C$115,'TERM 3 SUMMARY B'!$T$15:$T$115),""))</f>
        <v/>
      </c>
      <c r="N39" s="172"/>
      <c r="O39" s="163"/>
      <c r="P39" s="240" t="str">
        <f t="shared" si="1"/>
        <v/>
      </c>
      <c r="Q39" s="172"/>
      <c r="R39" s="33"/>
      <c r="S39" s="241" t="str">
        <f t="shared" si="2"/>
        <v/>
      </c>
      <c r="T39" s="163"/>
      <c r="U39" s="17"/>
      <c r="V39" s="17"/>
      <c r="W39" s="17"/>
      <c r="X39" s="17"/>
      <c r="Y39" s="17"/>
      <c r="Z39" s="17"/>
      <c r="AA39" s="17"/>
      <c r="AB39" s="17"/>
      <c r="AC39" s="17"/>
    </row>
    <row r="40" ht="15.75" customHeight="1">
      <c r="A40" s="17"/>
      <c r="B40" s="333">
        <v>26.0</v>
      </c>
      <c r="C40" s="229" t="str">
        <f>IF('INPUT DATA'!L36="","",'INPUT DATA'!L36)</f>
        <v/>
      </c>
      <c r="D40" s="205"/>
      <c r="E40" s="205"/>
      <c r="F40" s="238" t="str">
        <f t="array" ref="F40">IF(TRIM(C40)="","",IFERROR(_xlfn.XLOOKUP(TRIM(C40),'TERM 1 SUMMARY'!$C$15:$C$115,'TERM 1 SUMMARY'!$T$15:$T$115),""))</f>
        <v/>
      </c>
      <c r="G40" s="172"/>
      <c r="H40" s="172"/>
      <c r="I40" s="33"/>
      <c r="J40" s="239" t="str">
        <f t="array" ref="J40">IF(TRIM(C40)="","",IFERROR(_xlfn.XLOOKUP(TRIM(C40),'TERM 2 SUMMARY A'!$C$15:$C$115,'TERM 2 SUMMARY A'!$T$15:T$115),""))</f>
        <v/>
      </c>
      <c r="K40" s="172"/>
      <c r="L40" s="163"/>
      <c r="M40" s="239" t="str">
        <f t="array" ref="M40">IF(TRIM(C40)="","",IFERROR(_xlfn.XLOOKUP(TRIM(C40),'TERM 3 SUMMARY B'!$C$15:$C$115,'TERM 3 SUMMARY B'!$T$15:$T$115),""))</f>
        <v/>
      </c>
      <c r="N40" s="172"/>
      <c r="O40" s="163"/>
      <c r="P40" s="240" t="str">
        <f t="shared" si="1"/>
        <v/>
      </c>
      <c r="Q40" s="172"/>
      <c r="R40" s="33"/>
      <c r="S40" s="241" t="str">
        <f t="shared" si="2"/>
        <v/>
      </c>
      <c r="T40" s="163"/>
      <c r="U40" s="17"/>
      <c r="V40" s="17"/>
      <c r="W40" s="17"/>
      <c r="X40" s="17"/>
      <c r="Y40" s="17"/>
      <c r="Z40" s="17"/>
      <c r="AA40" s="17"/>
      <c r="AB40" s="17"/>
      <c r="AC40" s="17"/>
    </row>
    <row r="41" ht="15.75" customHeight="1">
      <c r="A41" s="17"/>
      <c r="B41" s="333">
        <v>27.0</v>
      </c>
      <c r="C41" s="229" t="str">
        <f>IF('INPUT DATA'!L37="","",'INPUT DATA'!L37)</f>
        <v/>
      </c>
      <c r="D41" s="205"/>
      <c r="E41" s="205"/>
      <c r="F41" s="238" t="str">
        <f t="array" ref="F41">IF(TRIM(C41)="","",IFERROR(_xlfn.XLOOKUP(TRIM(C41),'TERM 1 SUMMARY'!$C$15:$C$115,'TERM 1 SUMMARY'!$T$15:$T$115),""))</f>
        <v/>
      </c>
      <c r="G41" s="172"/>
      <c r="H41" s="172"/>
      <c r="I41" s="33"/>
      <c r="J41" s="239" t="str">
        <f t="array" ref="J41">IF(TRIM(C41)="","",IFERROR(_xlfn.XLOOKUP(TRIM(C41),'TERM 2 SUMMARY A'!$C$15:$C$115,'TERM 2 SUMMARY A'!$T$15:T$115),""))</f>
        <v/>
      </c>
      <c r="K41" s="172"/>
      <c r="L41" s="163"/>
      <c r="M41" s="239" t="str">
        <f t="array" ref="M41">IF(TRIM(C41)="","",IFERROR(_xlfn.XLOOKUP(TRIM(C41),'TERM 3 SUMMARY B'!$C$15:$C$115,'TERM 3 SUMMARY B'!$T$15:$T$115),""))</f>
        <v/>
      </c>
      <c r="N41" s="172"/>
      <c r="O41" s="163"/>
      <c r="P41" s="240" t="str">
        <f t="shared" si="1"/>
        <v/>
      </c>
      <c r="Q41" s="172"/>
      <c r="R41" s="33"/>
      <c r="S41" s="241" t="str">
        <f t="shared" si="2"/>
        <v/>
      </c>
      <c r="T41" s="163"/>
      <c r="U41" s="17"/>
      <c r="V41" s="17"/>
      <c r="W41" s="17"/>
      <c r="X41" s="17"/>
      <c r="Y41" s="17"/>
      <c r="Z41" s="17"/>
      <c r="AA41" s="17"/>
      <c r="AB41" s="17"/>
      <c r="AC41" s="17"/>
    </row>
    <row r="42" ht="15.75" customHeight="1">
      <c r="A42" s="17"/>
      <c r="B42" s="333">
        <v>28.0</v>
      </c>
      <c r="C42" s="229" t="str">
        <f>IF('INPUT DATA'!L38="","",'INPUT DATA'!L38)</f>
        <v/>
      </c>
      <c r="D42" s="205"/>
      <c r="E42" s="205"/>
      <c r="F42" s="238" t="str">
        <f t="array" ref="F42">IF(TRIM(C42)="","",IFERROR(_xlfn.XLOOKUP(TRIM(C42),'TERM 1 SUMMARY'!$C$15:$C$115,'TERM 1 SUMMARY'!$T$15:$T$115),""))</f>
        <v/>
      </c>
      <c r="G42" s="172"/>
      <c r="H42" s="172"/>
      <c r="I42" s="33"/>
      <c r="J42" s="239" t="str">
        <f t="array" ref="J42">IF(TRIM(C42)="","",IFERROR(_xlfn.XLOOKUP(TRIM(C42),'TERM 2 SUMMARY A'!$C$15:$C$115,'TERM 2 SUMMARY A'!$T$15:T$115),""))</f>
        <v/>
      </c>
      <c r="K42" s="172"/>
      <c r="L42" s="163"/>
      <c r="M42" s="239" t="str">
        <f t="array" ref="M42">IF(TRIM(C42)="","",IFERROR(_xlfn.XLOOKUP(TRIM(C42),'TERM 3 SUMMARY B'!$C$15:$C$115,'TERM 3 SUMMARY B'!$T$15:$T$115),""))</f>
        <v/>
      </c>
      <c r="N42" s="172"/>
      <c r="O42" s="163"/>
      <c r="P42" s="240" t="str">
        <f t="shared" si="1"/>
        <v/>
      </c>
      <c r="Q42" s="172"/>
      <c r="R42" s="33"/>
      <c r="S42" s="241" t="str">
        <f t="shared" si="2"/>
        <v/>
      </c>
      <c r="T42" s="163"/>
      <c r="U42" s="17"/>
      <c r="V42" s="17"/>
      <c r="W42" s="17"/>
      <c r="X42" s="17"/>
      <c r="Y42" s="17"/>
      <c r="Z42" s="17"/>
      <c r="AA42" s="17"/>
      <c r="AB42" s="17"/>
      <c r="AC42" s="17"/>
    </row>
    <row r="43" ht="15.75" customHeight="1">
      <c r="A43" s="17"/>
      <c r="B43" s="333">
        <v>29.0</v>
      </c>
      <c r="C43" s="229" t="str">
        <f>IF('INPUT DATA'!L39="","",'INPUT DATA'!L39)</f>
        <v/>
      </c>
      <c r="D43" s="205"/>
      <c r="E43" s="205"/>
      <c r="F43" s="238" t="str">
        <f t="array" ref="F43">IF(TRIM(C43)="","",IFERROR(_xlfn.XLOOKUP(TRIM(C43),'TERM 1 SUMMARY'!$C$15:$C$115,'TERM 1 SUMMARY'!$T$15:$T$115),""))</f>
        <v/>
      </c>
      <c r="G43" s="172"/>
      <c r="H43" s="172"/>
      <c r="I43" s="33"/>
      <c r="J43" s="239" t="str">
        <f t="array" ref="J43">IF(TRIM(C43)="","",IFERROR(_xlfn.XLOOKUP(TRIM(C43),'TERM 2 SUMMARY A'!$C$15:$C$115,'TERM 2 SUMMARY A'!$T$15:T$115),""))</f>
        <v/>
      </c>
      <c r="K43" s="172"/>
      <c r="L43" s="163"/>
      <c r="M43" s="239" t="str">
        <f t="array" ref="M43">IF(TRIM(C43)="","",IFERROR(_xlfn.XLOOKUP(TRIM(C43),'TERM 3 SUMMARY B'!$C$15:$C$115,'TERM 3 SUMMARY B'!$T$15:$T$115),""))</f>
        <v/>
      </c>
      <c r="N43" s="172"/>
      <c r="O43" s="163"/>
      <c r="P43" s="240" t="str">
        <f t="shared" si="1"/>
        <v/>
      </c>
      <c r="Q43" s="172"/>
      <c r="R43" s="33"/>
      <c r="S43" s="241" t="str">
        <f t="shared" si="2"/>
        <v/>
      </c>
      <c r="T43" s="163"/>
      <c r="U43" s="17"/>
      <c r="V43" s="17"/>
      <c r="W43" s="17"/>
      <c r="X43" s="17"/>
      <c r="Y43" s="17"/>
      <c r="Z43" s="17"/>
      <c r="AA43" s="17"/>
      <c r="AB43" s="17"/>
      <c r="AC43" s="17"/>
    </row>
    <row r="44" ht="15.75" customHeight="1">
      <c r="A44" s="17"/>
      <c r="B44" s="333">
        <v>30.0</v>
      </c>
      <c r="C44" s="229" t="str">
        <f>IF('INPUT DATA'!L40="","",'INPUT DATA'!L40)</f>
        <v/>
      </c>
      <c r="D44" s="205"/>
      <c r="E44" s="205"/>
      <c r="F44" s="238" t="str">
        <f t="array" ref="F44">IF(TRIM(C44)="","",IFERROR(_xlfn.XLOOKUP(TRIM(C44),'TERM 1 SUMMARY'!$C$15:$C$115,'TERM 1 SUMMARY'!$T$15:$T$115),""))</f>
        <v/>
      </c>
      <c r="G44" s="172"/>
      <c r="H44" s="172"/>
      <c r="I44" s="33"/>
      <c r="J44" s="239" t="str">
        <f t="array" ref="J44">IF(TRIM(C44)="","",IFERROR(_xlfn.XLOOKUP(TRIM(C44),'TERM 2 SUMMARY A'!$C$15:$C$115,'TERM 2 SUMMARY A'!$T$15:T$115),""))</f>
        <v/>
      </c>
      <c r="K44" s="172"/>
      <c r="L44" s="163"/>
      <c r="M44" s="239" t="str">
        <f t="array" ref="M44">IF(TRIM(C44)="","",IFERROR(_xlfn.XLOOKUP(TRIM(C44),'TERM 3 SUMMARY B'!$C$15:$C$115,'TERM 3 SUMMARY B'!$T$15:$T$115),""))</f>
        <v/>
      </c>
      <c r="N44" s="172"/>
      <c r="O44" s="163"/>
      <c r="P44" s="240" t="str">
        <f t="shared" si="1"/>
        <v/>
      </c>
      <c r="Q44" s="172"/>
      <c r="R44" s="33"/>
      <c r="S44" s="241" t="str">
        <f t="shared" si="2"/>
        <v/>
      </c>
      <c r="T44" s="163"/>
      <c r="U44" s="17"/>
      <c r="V44" s="17"/>
      <c r="W44" s="17"/>
      <c r="X44" s="17"/>
      <c r="Y44" s="17"/>
      <c r="Z44" s="17"/>
      <c r="AA44" s="17"/>
      <c r="AB44" s="17"/>
      <c r="AC44" s="17"/>
    </row>
    <row r="45" ht="15.75" customHeight="1">
      <c r="A45" s="17"/>
      <c r="B45" s="333">
        <v>31.0</v>
      </c>
      <c r="C45" s="229" t="str">
        <f>IF('INPUT DATA'!L41="","",'INPUT DATA'!L41)</f>
        <v/>
      </c>
      <c r="D45" s="205"/>
      <c r="E45" s="205"/>
      <c r="F45" s="238" t="str">
        <f t="array" ref="F45">IF(TRIM(C45)="","",IFERROR(_xlfn.XLOOKUP(TRIM(C45),'TERM 1 SUMMARY'!$C$15:$C$115,'TERM 1 SUMMARY'!$T$15:$T$115),""))</f>
        <v/>
      </c>
      <c r="G45" s="172"/>
      <c r="H45" s="172"/>
      <c r="I45" s="33"/>
      <c r="J45" s="239" t="str">
        <f t="array" ref="J45">IF(TRIM(C45)="","",IFERROR(_xlfn.XLOOKUP(TRIM(C45),'TERM 2 SUMMARY A'!$C$15:$C$115,'TERM 2 SUMMARY A'!$T$15:T$115),""))</f>
        <v/>
      </c>
      <c r="K45" s="172"/>
      <c r="L45" s="163"/>
      <c r="M45" s="239" t="str">
        <f t="array" ref="M45">IF(TRIM(C45)="","",IFERROR(_xlfn.XLOOKUP(TRIM(C45),'TERM 3 SUMMARY B'!$C$15:$C$115,'TERM 3 SUMMARY B'!$T$15:$T$115),""))</f>
        <v/>
      </c>
      <c r="N45" s="172"/>
      <c r="O45" s="163"/>
      <c r="P45" s="240" t="str">
        <f t="shared" si="1"/>
        <v/>
      </c>
      <c r="Q45" s="172"/>
      <c r="R45" s="33"/>
      <c r="S45" s="241" t="str">
        <f t="shared" si="2"/>
        <v/>
      </c>
      <c r="T45" s="163"/>
      <c r="U45" s="17"/>
      <c r="V45" s="17"/>
      <c r="W45" s="17"/>
      <c r="X45" s="17"/>
      <c r="Y45" s="17"/>
      <c r="Z45" s="17"/>
      <c r="AA45" s="17"/>
      <c r="AB45" s="17"/>
      <c r="AC45" s="17"/>
    </row>
    <row r="46" ht="15.75" customHeight="1">
      <c r="A46" s="17"/>
      <c r="B46" s="333">
        <v>32.0</v>
      </c>
      <c r="C46" s="229" t="str">
        <f>IF('INPUT DATA'!L42="","",'INPUT DATA'!L42)</f>
        <v/>
      </c>
      <c r="D46" s="205"/>
      <c r="E46" s="205"/>
      <c r="F46" s="238" t="str">
        <f t="array" ref="F46">IF(TRIM(C46)="","",IFERROR(_xlfn.XLOOKUP(TRIM(C46),'TERM 1 SUMMARY'!$C$15:$C$115,'TERM 1 SUMMARY'!$T$15:$T$115),""))</f>
        <v/>
      </c>
      <c r="G46" s="172"/>
      <c r="H46" s="172"/>
      <c r="I46" s="33"/>
      <c r="J46" s="239" t="str">
        <f t="array" ref="J46">IF(TRIM(C46)="","",IFERROR(_xlfn.XLOOKUP(TRIM(C46),'TERM 2 SUMMARY A'!$C$15:$C$115,'TERM 2 SUMMARY A'!$T$15:T$115),""))</f>
        <v/>
      </c>
      <c r="K46" s="172"/>
      <c r="L46" s="163"/>
      <c r="M46" s="239" t="str">
        <f t="array" ref="M46">IF(TRIM(C46)="","",IFERROR(_xlfn.XLOOKUP(TRIM(C46),'TERM 3 SUMMARY B'!$C$15:$C$115,'TERM 3 SUMMARY B'!$T$15:$T$115),""))</f>
        <v/>
      </c>
      <c r="N46" s="172"/>
      <c r="O46" s="163"/>
      <c r="P46" s="240" t="str">
        <f t="shared" si="1"/>
        <v/>
      </c>
      <c r="Q46" s="172"/>
      <c r="R46" s="33"/>
      <c r="S46" s="241" t="str">
        <f t="shared" si="2"/>
        <v/>
      </c>
      <c r="T46" s="163"/>
      <c r="U46" s="17"/>
      <c r="V46" s="17"/>
      <c r="W46" s="17"/>
      <c r="X46" s="17"/>
      <c r="Y46" s="17"/>
      <c r="Z46" s="17"/>
      <c r="AA46" s="17"/>
      <c r="AB46" s="17"/>
      <c r="AC46" s="17"/>
    </row>
    <row r="47" ht="15.75" customHeight="1">
      <c r="A47" s="17"/>
      <c r="B47" s="333">
        <v>33.0</v>
      </c>
      <c r="C47" s="229" t="str">
        <f>IF('INPUT DATA'!L43="","",'INPUT DATA'!L43)</f>
        <v/>
      </c>
      <c r="D47" s="205"/>
      <c r="E47" s="205"/>
      <c r="F47" s="238" t="str">
        <f t="array" ref="F47">IF(TRIM(C47)="","",IFERROR(_xlfn.XLOOKUP(TRIM(C47),'TERM 1 SUMMARY'!$C$15:$C$115,'TERM 1 SUMMARY'!$T$15:$T$115),""))</f>
        <v/>
      </c>
      <c r="G47" s="172"/>
      <c r="H47" s="172"/>
      <c r="I47" s="33"/>
      <c r="J47" s="239" t="str">
        <f t="array" ref="J47">IF(TRIM(C47)="","",IFERROR(_xlfn.XLOOKUP(TRIM(C47),'TERM 2 SUMMARY A'!$C$15:$C$115,'TERM 2 SUMMARY A'!$T$15:T$115),""))</f>
        <v/>
      </c>
      <c r="K47" s="172"/>
      <c r="L47" s="163"/>
      <c r="M47" s="239" t="str">
        <f t="array" ref="M47">IF(TRIM(C47)="","",IFERROR(_xlfn.XLOOKUP(TRIM(C47),'TERM 3 SUMMARY B'!$C$15:$C$115,'TERM 3 SUMMARY B'!$T$15:$T$115),""))</f>
        <v/>
      </c>
      <c r="N47" s="172"/>
      <c r="O47" s="163"/>
      <c r="P47" s="240" t="str">
        <f t="shared" si="1"/>
        <v/>
      </c>
      <c r="Q47" s="172"/>
      <c r="R47" s="33"/>
      <c r="S47" s="241" t="str">
        <f t="shared" si="2"/>
        <v/>
      </c>
      <c r="T47" s="163"/>
      <c r="U47" s="17"/>
      <c r="V47" s="17"/>
      <c r="W47" s="17"/>
      <c r="X47" s="17"/>
      <c r="Y47" s="17"/>
      <c r="Z47" s="17"/>
      <c r="AA47" s="17"/>
      <c r="AB47" s="17"/>
      <c r="AC47" s="17"/>
    </row>
    <row r="48" ht="15.75" customHeight="1">
      <c r="A48" s="17"/>
      <c r="B48" s="333">
        <v>34.0</v>
      </c>
      <c r="C48" s="229" t="str">
        <f>IF('INPUT DATA'!L44="","",'INPUT DATA'!L44)</f>
        <v/>
      </c>
      <c r="D48" s="205"/>
      <c r="E48" s="205"/>
      <c r="F48" s="238" t="str">
        <f t="array" ref="F48">IF(TRIM(C48)="","",IFERROR(_xlfn.XLOOKUP(TRIM(C48),'TERM 1 SUMMARY'!$C$15:$C$115,'TERM 1 SUMMARY'!$T$15:$T$115),""))</f>
        <v/>
      </c>
      <c r="G48" s="172"/>
      <c r="H48" s="172"/>
      <c r="I48" s="33"/>
      <c r="J48" s="239" t="str">
        <f t="array" ref="J48">IF(TRIM(C48)="","",IFERROR(_xlfn.XLOOKUP(TRIM(C48),'TERM 2 SUMMARY A'!$C$15:$C$115,'TERM 2 SUMMARY A'!$T$15:T$115),""))</f>
        <v/>
      </c>
      <c r="K48" s="172"/>
      <c r="L48" s="163"/>
      <c r="M48" s="239" t="str">
        <f t="array" ref="M48">IF(TRIM(C48)="","",IFERROR(_xlfn.XLOOKUP(TRIM(C48),'TERM 3 SUMMARY B'!$C$15:$C$115,'TERM 3 SUMMARY B'!$T$15:$T$115),""))</f>
        <v/>
      </c>
      <c r="N48" s="172"/>
      <c r="O48" s="163"/>
      <c r="P48" s="240" t="str">
        <f t="shared" si="1"/>
        <v/>
      </c>
      <c r="Q48" s="172"/>
      <c r="R48" s="33"/>
      <c r="S48" s="241" t="str">
        <f t="shared" si="2"/>
        <v/>
      </c>
      <c r="T48" s="163"/>
      <c r="U48" s="17"/>
      <c r="V48" s="17"/>
      <c r="W48" s="17"/>
      <c r="X48" s="17"/>
      <c r="Y48" s="17"/>
      <c r="Z48" s="17"/>
      <c r="AA48" s="17"/>
      <c r="AB48" s="17"/>
      <c r="AC48" s="17"/>
    </row>
    <row r="49" ht="15.75" customHeight="1">
      <c r="A49" s="17"/>
      <c r="B49" s="333">
        <v>35.0</v>
      </c>
      <c r="C49" s="229" t="str">
        <f>IF('INPUT DATA'!L45="","",'INPUT DATA'!L45)</f>
        <v/>
      </c>
      <c r="D49" s="205"/>
      <c r="E49" s="205"/>
      <c r="F49" s="238" t="str">
        <f t="array" ref="F49">IF(TRIM(C49)="","",IFERROR(_xlfn.XLOOKUP(TRIM(C49),'TERM 1 SUMMARY'!$C$15:$C$115,'TERM 1 SUMMARY'!$T$15:$T$115),""))</f>
        <v/>
      </c>
      <c r="G49" s="172"/>
      <c r="H49" s="172"/>
      <c r="I49" s="33"/>
      <c r="J49" s="239" t="str">
        <f t="array" ref="J49">IF(TRIM(C49)="","",IFERROR(_xlfn.XLOOKUP(TRIM(C49),'TERM 2 SUMMARY A'!$C$15:$C$115,'TERM 2 SUMMARY A'!$T$15:T$115),""))</f>
        <v/>
      </c>
      <c r="K49" s="172"/>
      <c r="L49" s="163"/>
      <c r="M49" s="239" t="str">
        <f t="array" ref="M49">IF(TRIM(C49)="","",IFERROR(_xlfn.XLOOKUP(TRIM(C49),'TERM 3 SUMMARY B'!$C$15:$C$115,'TERM 3 SUMMARY B'!$T$15:$T$115),""))</f>
        <v/>
      </c>
      <c r="N49" s="172"/>
      <c r="O49" s="163"/>
      <c r="P49" s="240" t="str">
        <f t="shared" si="1"/>
        <v/>
      </c>
      <c r="Q49" s="172"/>
      <c r="R49" s="33"/>
      <c r="S49" s="241" t="str">
        <f t="shared" si="2"/>
        <v/>
      </c>
      <c r="T49" s="163"/>
      <c r="U49" s="17"/>
      <c r="V49" s="17"/>
      <c r="W49" s="17"/>
      <c r="X49" s="17"/>
      <c r="Y49" s="17"/>
      <c r="Z49" s="17"/>
      <c r="AA49" s="17"/>
      <c r="AB49" s="17"/>
      <c r="AC49" s="17"/>
    </row>
    <row r="50" ht="15.75" customHeight="1">
      <c r="A50" s="17"/>
      <c r="B50" s="333">
        <v>36.0</v>
      </c>
      <c r="C50" s="229" t="str">
        <f>IF('INPUT DATA'!L46="","",'INPUT DATA'!L46)</f>
        <v/>
      </c>
      <c r="D50" s="205"/>
      <c r="E50" s="205"/>
      <c r="F50" s="238" t="str">
        <f t="array" ref="F50">IF(TRIM(C50)="","",IFERROR(_xlfn.XLOOKUP(TRIM(C50),'TERM 1 SUMMARY'!$C$15:$C$115,'TERM 1 SUMMARY'!$T$15:$T$115),""))</f>
        <v/>
      </c>
      <c r="G50" s="172"/>
      <c r="H50" s="172"/>
      <c r="I50" s="33"/>
      <c r="J50" s="239" t="str">
        <f t="array" ref="J50">IF(TRIM(C50)="","",IFERROR(_xlfn.XLOOKUP(TRIM(C50),'TERM 2 SUMMARY A'!$C$15:$C$115,'TERM 2 SUMMARY A'!$T$15:T$115),""))</f>
        <v/>
      </c>
      <c r="K50" s="172"/>
      <c r="L50" s="163"/>
      <c r="M50" s="239" t="str">
        <f t="array" ref="M50">IF(TRIM(C50)="","",IFERROR(_xlfn.XLOOKUP(TRIM(C50),'TERM 3 SUMMARY B'!$C$15:$C$115,'TERM 3 SUMMARY B'!$T$15:$T$115),""))</f>
        <v/>
      </c>
      <c r="N50" s="172"/>
      <c r="O50" s="163"/>
      <c r="P50" s="240" t="str">
        <f t="shared" si="1"/>
        <v/>
      </c>
      <c r="Q50" s="172"/>
      <c r="R50" s="33"/>
      <c r="S50" s="241" t="str">
        <f t="shared" si="2"/>
        <v/>
      </c>
      <c r="T50" s="163"/>
      <c r="U50" s="17"/>
      <c r="V50" s="17"/>
      <c r="W50" s="17"/>
      <c r="X50" s="17"/>
      <c r="Y50" s="17"/>
      <c r="Z50" s="17"/>
      <c r="AA50" s="17"/>
      <c r="AB50" s="17"/>
      <c r="AC50" s="17"/>
    </row>
    <row r="51" ht="15.75" customHeight="1">
      <c r="A51" s="17"/>
      <c r="B51" s="333">
        <v>37.0</v>
      </c>
      <c r="C51" s="229" t="str">
        <f>IF('INPUT DATA'!L47="","",'INPUT DATA'!L47)</f>
        <v/>
      </c>
      <c r="D51" s="205"/>
      <c r="E51" s="205"/>
      <c r="F51" s="238" t="str">
        <f t="array" ref="F51">IF(TRIM(C51)="","",IFERROR(_xlfn.XLOOKUP(TRIM(C51),'TERM 1 SUMMARY'!$C$15:$C$115,'TERM 1 SUMMARY'!$T$15:$T$115),""))</f>
        <v/>
      </c>
      <c r="G51" s="172"/>
      <c r="H51" s="172"/>
      <c r="I51" s="33"/>
      <c r="J51" s="239" t="str">
        <f t="array" ref="J51">IF(TRIM(C51)="","",IFERROR(_xlfn.XLOOKUP(TRIM(C51),'TERM 2 SUMMARY A'!$C$15:$C$115,'TERM 2 SUMMARY A'!$T$15:T$115),""))</f>
        <v/>
      </c>
      <c r="K51" s="172"/>
      <c r="L51" s="163"/>
      <c r="M51" s="239" t="str">
        <f t="array" ref="M51">IF(TRIM(C51)="","",IFERROR(_xlfn.XLOOKUP(TRIM(C51),'TERM 3 SUMMARY B'!$C$15:$C$115,'TERM 3 SUMMARY B'!$T$15:$T$115),""))</f>
        <v/>
      </c>
      <c r="N51" s="172"/>
      <c r="O51" s="163"/>
      <c r="P51" s="240" t="str">
        <f t="shared" si="1"/>
        <v/>
      </c>
      <c r="Q51" s="172"/>
      <c r="R51" s="33"/>
      <c r="S51" s="241" t="str">
        <f t="shared" si="2"/>
        <v/>
      </c>
      <c r="T51" s="163"/>
      <c r="U51" s="17"/>
      <c r="V51" s="17"/>
      <c r="W51" s="17"/>
      <c r="X51" s="17"/>
      <c r="Y51" s="17"/>
      <c r="Z51" s="17"/>
      <c r="AA51" s="17"/>
      <c r="AB51" s="17"/>
      <c r="AC51" s="17"/>
    </row>
    <row r="52" ht="15.75" customHeight="1">
      <c r="A52" s="17"/>
      <c r="B52" s="333">
        <v>38.0</v>
      </c>
      <c r="C52" s="229" t="str">
        <f>IF('INPUT DATA'!L48="","",'INPUT DATA'!L48)</f>
        <v/>
      </c>
      <c r="D52" s="205"/>
      <c r="E52" s="205"/>
      <c r="F52" s="238" t="str">
        <f t="array" ref="F52">IF(TRIM(C52)="","",IFERROR(_xlfn.XLOOKUP(TRIM(C52),'TERM 1 SUMMARY'!$C$15:$C$115,'TERM 1 SUMMARY'!$T$15:$T$115),""))</f>
        <v/>
      </c>
      <c r="G52" s="172"/>
      <c r="H52" s="172"/>
      <c r="I52" s="33"/>
      <c r="J52" s="239" t="str">
        <f t="array" ref="J52">IF(TRIM(C52)="","",IFERROR(_xlfn.XLOOKUP(TRIM(C52),'TERM 2 SUMMARY A'!$C$15:$C$115,'TERM 2 SUMMARY A'!$T$15:T$115),""))</f>
        <v/>
      </c>
      <c r="K52" s="172"/>
      <c r="L52" s="163"/>
      <c r="M52" s="239" t="str">
        <f t="array" ref="M52">IF(TRIM(C52)="","",IFERROR(_xlfn.XLOOKUP(TRIM(C52),'TERM 3 SUMMARY B'!$C$15:$C$115,'TERM 3 SUMMARY B'!$T$15:$T$115),""))</f>
        <v/>
      </c>
      <c r="N52" s="172"/>
      <c r="O52" s="163"/>
      <c r="P52" s="240" t="str">
        <f t="shared" si="1"/>
        <v/>
      </c>
      <c r="Q52" s="172"/>
      <c r="R52" s="33"/>
      <c r="S52" s="241" t="str">
        <f t="shared" si="2"/>
        <v/>
      </c>
      <c r="T52" s="163"/>
      <c r="U52" s="17"/>
      <c r="V52" s="17"/>
      <c r="W52" s="17"/>
      <c r="X52" s="17"/>
      <c r="Y52" s="17"/>
      <c r="Z52" s="17"/>
      <c r="AA52" s="17"/>
      <c r="AB52" s="17"/>
      <c r="AC52" s="17"/>
    </row>
    <row r="53" ht="15.75" customHeight="1">
      <c r="A53" s="17"/>
      <c r="B53" s="333">
        <v>39.0</v>
      </c>
      <c r="C53" s="229" t="str">
        <f>IF('INPUT DATA'!L49="","",'INPUT DATA'!L49)</f>
        <v/>
      </c>
      <c r="D53" s="205"/>
      <c r="E53" s="205"/>
      <c r="F53" s="238" t="str">
        <f t="array" ref="F53">IF(TRIM(C53)="","",IFERROR(_xlfn.XLOOKUP(TRIM(C53),'TERM 1 SUMMARY'!$C$15:$C$115,'TERM 1 SUMMARY'!$T$15:$T$115),""))</f>
        <v/>
      </c>
      <c r="G53" s="172"/>
      <c r="H53" s="172"/>
      <c r="I53" s="33"/>
      <c r="J53" s="239" t="str">
        <f t="array" ref="J53">IF(TRIM(C53)="","",IFERROR(_xlfn.XLOOKUP(TRIM(C53),'TERM 2 SUMMARY A'!$C$15:$C$115,'TERM 2 SUMMARY A'!$T$15:T$115),""))</f>
        <v/>
      </c>
      <c r="K53" s="172"/>
      <c r="L53" s="163"/>
      <c r="M53" s="239" t="str">
        <f t="array" ref="M53">IF(TRIM(C53)="","",IFERROR(_xlfn.XLOOKUP(TRIM(C53),'TERM 3 SUMMARY B'!$C$15:$C$115,'TERM 3 SUMMARY B'!$T$15:$T$115),""))</f>
        <v/>
      </c>
      <c r="N53" s="172"/>
      <c r="O53" s="163"/>
      <c r="P53" s="240" t="str">
        <f t="shared" si="1"/>
        <v/>
      </c>
      <c r="Q53" s="172"/>
      <c r="R53" s="33"/>
      <c r="S53" s="241" t="str">
        <f t="shared" si="2"/>
        <v/>
      </c>
      <c r="T53" s="163"/>
      <c r="U53" s="17"/>
      <c r="V53" s="17"/>
      <c r="W53" s="17"/>
      <c r="X53" s="17"/>
      <c r="Y53" s="17"/>
      <c r="Z53" s="17"/>
      <c r="AA53" s="17"/>
      <c r="AB53" s="17"/>
      <c r="AC53" s="17"/>
    </row>
    <row r="54" ht="15.75" customHeight="1">
      <c r="A54" s="17"/>
      <c r="B54" s="333">
        <v>40.0</v>
      </c>
      <c r="C54" s="229" t="str">
        <f>IF('INPUT DATA'!L50="","",'INPUT DATA'!L50)</f>
        <v/>
      </c>
      <c r="D54" s="205"/>
      <c r="E54" s="205"/>
      <c r="F54" s="238" t="str">
        <f t="array" ref="F54">IF(TRIM(C54)="","",IFERROR(_xlfn.XLOOKUP(TRIM(C54),'TERM 1 SUMMARY'!$C$15:$C$115,'TERM 1 SUMMARY'!$T$15:$T$115),""))</f>
        <v/>
      </c>
      <c r="G54" s="172"/>
      <c r="H54" s="172"/>
      <c r="I54" s="33"/>
      <c r="J54" s="239" t="str">
        <f t="array" ref="J54">IF(TRIM(C54)="","",IFERROR(_xlfn.XLOOKUP(TRIM(C54),'TERM 2 SUMMARY A'!$C$15:$C$115,'TERM 2 SUMMARY A'!$T$15:T$115),""))</f>
        <v/>
      </c>
      <c r="K54" s="172"/>
      <c r="L54" s="163"/>
      <c r="M54" s="239" t="str">
        <f t="array" ref="M54">IF(TRIM(C54)="","",IFERROR(_xlfn.XLOOKUP(TRIM(C54),'TERM 3 SUMMARY B'!$C$15:$C$115,'TERM 3 SUMMARY B'!$T$15:$T$115),""))</f>
        <v/>
      </c>
      <c r="N54" s="172"/>
      <c r="O54" s="163"/>
      <c r="P54" s="240" t="str">
        <f t="shared" si="1"/>
        <v/>
      </c>
      <c r="Q54" s="172"/>
      <c r="R54" s="33"/>
      <c r="S54" s="241" t="str">
        <f t="shared" si="2"/>
        <v/>
      </c>
      <c r="T54" s="163"/>
      <c r="U54" s="17"/>
      <c r="V54" s="17"/>
      <c r="W54" s="17"/>
      <c r="X54" s="17"/>
      <c r="Y54" s="17"/>
      <c r="Z54" s="17"/>
      <c r="AA54" s="17"/>
      <c r="AB54" s="17"/>
      <c r="AC54" s="17"/>
    </row>
    <row r="55" ht="15.75" customHeight="1">
      <c r="A55" s="17"/>
      <c r="B55" s="333">
        <v>41.0</v>
      </c>
      <c r="C55" s="229" t="str">
        <f>IF('INPUT DATA'!L51="","",'INPUT DATA'!L51)</f>
        <v/>
      </c>
      <c r="D55" s="205"/>
      <c r="E55" s="205"/>
      <c r="F55" s="238" t="str">
        <f t="array" ref="F55">IF(TRIM(C55)="","",IFERROR(_xlfn.XLOOKUP(TRIM(C55),'TERM 1 SUMMARY'!$C$15:$C$115,'TERM 1 SUMMARY'!$T$15:$T$115),""))</f>
        <v/>
      </c>
      <c r="G55" s="172"/>
      <c r="H55" s="172"/>
      <c r="I55" s="33"/>
      <c r="J55" s="239" t="str">
        <f t="array" ref="J55">IF(TRIM(C55)="","",IFERROR(_xlfn.XLOOKUP(TRIM(C55),'TERM 2 SUMMARY A'!$C$15:$C$115,'TERM 2 SUMMARY A'!$T$15:T$115),""))</f>
        <v/>
      </c>
      <c r="K55" s="172"/>
      <c r="L55" s="163"/>
      <c r="M55" s="239" t="str">
        <f t="array" ref="M55">IF(TRIM(C55)="","",IFERROR(_xlfn.XLOOKUP(TRIM(C55),'TERM 3 SUMMARY B'!$C$15:$C$115,'TERM 3 SUMMARY B'!$T$15:$T$115),""))</f>
        <v/>
      </c>
      <c r="N55" s="172"/>
      <c r="O55" s="163"/>
      <c r="P55" s="240" t="str">
        <f t="shared" si="1"/>
        <v/>
      </c>
      <c r="Q55" s="172"/>
      <c r="R55" s="33"/>
      <c r="S55" s="241" t="str">
        <f t="shared" si="2"/>
        <v/>
      </c>
      <c r="T55" s="163"/>
      <c r="U55" s="17"/>
      <c r="V55" s="17"/>
      <c r="W55" s="17"/>
      <c r="X55" s="17"/>
      <c r="Y55" s="17"/>
      <c r="Z55" s="17"/>
      <c r="AA55" s="17"/>
      <c r="AB55" s="17"/>
      <c r="AC55" s="17"/>
    </row>
    <row r="56" ht="15.75" customHeight="1">
      <c r="A56" s="17"/>
      <c r="B56" s="333">
        <v>42.0</v>
      </c>
      <c r="C56" s="229" t="str">
        <f>IF('INPUT DATA'!L52="","",'INPUT DATA'!L52)</f>
        <v/>
      </c>
      <c r="D56" s="205"/>
      <c r="E56" s="205"/>
      <c r="F56" s="238" t="str">
        <f t="array" ref="F56">IF(TRIM(C56)="","",IFERROR(_xlfn.XLOOKUP(TRIM(C56),'TERM 1 SUMMARY'!$C$15:$C$115,'TERM 1 SUMMARY'!$T$15:$T$115),""))</f>
        <v/>
      </c>
      <c r="G56" s="172"/>
      <c r="H56" s="172"/>
      <c r="I56" s="33"/>
      <c r="J56" s="239" t="str">
        <f t="array" ref="J56">IF(TRIM(C56)="","",IFERROR(_xlfn.XLOOKUP(TRIM(C56),'TERM 2 SUMMARY A'!$C$15:$C$115,'TERM 2 SUMMARY A'!$T$15:T$115),""))</f>
        <v/>
      </c>
      <c r="K56" s="172"/>
      <c r="L56" s="163"/>
      <c r="M56" s="239" t="str">
        <f t="array" ref="M56">IF(TRIM(C56)="","",IFERROR(_xlfn.XLOOKUP(TRIM(C56),'TERM 3 SUMMARY B'!$C$15:$C$115,'TERM 3 SUMMARY B'!$T$15:$T$115),""))</f>
        <v/>
      </c>
      <c r="N56" s="172"/>
      <c r="O56" s="163"/>
      <c r="P56" s="240" t="str">
        <f t="shared" si="1"/>
        <v/>
      </c>
      <c r="Q56" s="172"/>
      <c r="R56" s="33"/>
      <c r="S56" s="241" t="str">
        <f t="shared" si="2"/>
        <v/>
      </c>
      <c r="T56" s="163"/>
      <c r="U56" s="17"/>
      <c r="V56" s="17"/>
      <c r="W56" s="17"/>
      <c r="X56" s="17"/>
      <c r="Y56" s="17"/>
      <c r="Z56" s="17"/>
      <c r="AA56" s="17"/>
      <c r="AB56" s="17"/>
      <c r="AC56" s="17"/>
    </row>
    <row r="57" ht="15.75" customHeight="1">
      <c r="A57" s="17"/>
      <c r="B57" s="333">
        <v>43.0</v>
      </c>
      <c r="C57" s="229" t="str">
        <f>IF('INPUT DATA'!L53="","",'INPUT DATA'!L53)</f>
        <v/>
      </c>
      <c r="D57" s="205"/>
      <c r="E57" s="205"/>
      <c r="F57" s="238" t="str">
        <f t="array" ref="F57">IF(TRIM(C57)="","",IFERROR(_xlfn.XLOOKUP(TRIM(C57),'TERM 1 SUMMARY'!$C$15:$C$115,'TERM 1 SUMMARY'!$T$15:$T$115),""))</f>
        <v/>
      </c>
      <c r="G57" s="172"/>
      <c r="H57" s="172"/>
      <c r="I57" s="33"/>
      <c r="J57" s="239" t="str">
        <f t="array" ref="J57">IF(TRIM(C57)="","",IFERROR(_xlfn.XLOOKUP(TRIM(C57),'TERM 2 SUMMARY A'!$C$15:$C$115,'TERM 2 SUMMARY A'!$T$15:T$115),""))</f>
        <v/>
      </c>
      <c r="K57" s="172"/>
      <c r="L57" s="163"/>
      <c r="M57" s="239" t="str">
        <f t="array" ref="M57">IF(TRIM(C57)="","",IFERROR(_xlfn.XLOOKUP(TRIM(C57),'TERM 3 SUMMARY B'!$C$15:$C$115,'TERM 3 SUMMARY B'!$T$15:$T$115),""))</f>
        <v/>
      </c>
      <c r="N57" s="172"/>
      <c r="O57" s="163"/>
      <c r="P57" s="240" t="str">
        <f t="shared" si="1"/>
        <v/>
      </c>
      <c r="Q57" s="172"/>
      <c r="R57" s="33"/>
      <c r="S57" s="241" t="str">
        <f t="shared" si="2"/>
        <v/>
      </c>
      <c r="T57" s="163"/>
      <c r="U57" s="17"/>
      <c r="V57" s="17"/>
      <c r="W57" s="17"/>
      <c r="X57" s="17"/>
      <c r="Y57" s="17"/>
      <c r="Z57" s="17"/>
      <c r="AA57" s="17"/>
      <c r="AB57" s="17"/>
      <c r="AC57" s="17"/>
    </row>
    <row r="58" ht="15.75" customHeight="1">
      <c r="A58" s="17"/>
      <c r="B58" s="333">
        <v>44.0</v>
      </c>
      <c r="C58" s="229" t="str">
        <f>IF('INPUT DATA'!L54="","",'INPUT DATA'!L54)</f>
        <v/>
      </c>
      <c r="D58" s="205"/>
      <c r="E58" s="205"/>
      <c r="F58" s="238" t="str">
        <f t="array" ref="F58">IF(TRIM(C58)="","",IFERROR(_xlfn.XLOOKUP(TRIM(C58),'TERM 1 SUMMARY'!$C$15:$C$115,'TERM 1 SUMMARY'!$T$15:$T$115),""))</f>
        <v/>
      </c>
      <c r="G58" s="172"/>
      <c r="H58" s="172"/>
      <c r="I58" s="33"/>
      <c r="J58" s="239" t="str">
        <f t="array" ref="J58">IF(TRIM(C58)="","",IFERROR(_xlfn.XLOOKUP(TRIM(C58),'TERM 2 SUMMARY A'!$C$15:$C$115,'TERM 2 SUMMARY A'!$T$15:T$115),""))</f>
        <v/>
      </c>
      <c r="K58" s="172"/>
      <c r="L58" s="163"/>
      <c r="M58" s="239" t="str">
        <f t="array" ref="M58">IF(TRIM(C58)="","",IFERROR(_xlfn.XLOOKUP(TRIM(C58),'TERM 3 SUMMARY B'!$C$15:$C$115,'TERM 3 SUMMARY B'!$T$15:$T$115),""))</f>
        <v/>
      </c>
      <c r="N58" s="172"/>
      <c r="O58" s="163"/>
      <c r="P58" s="240" t="str">
        <f t="shared" si="1"/>
        <v/>
      </c>
      <c r="Q58" s="172"/>
      <c r="R58" s="33"/>
      <c r="S58" s="241" t="str">
        <f t="shared" si="2"/>
        <v/>
      </c>
      <c r="T58" s="163"/>
      <c r="U58" s="17"/>
      <c r="V58" s="17"/>
      <c r="W58" s="17"/>
      <c r="X58" s="17"/>
      <c r="Y58" s="17"/>
      <c r="Z58" s="17"/>
      <c r="AA58" s="17"/>
      <c r="AB58" s="17"/>
      <c r="AC58" s="17"/>
    </row>
    <row r="59" ht="15.75" customHeight="1">
      <c r="A59" s="17"/>
      <c r="B59" s="333">
        <v>45.0</v>
      </c>
      <c r="C59" s="229" t="str">
        <f>IF('INPUT DATA'!L55="","",'INPUT DATA'!L55)</f>
        <v/>
      </c>
      <c r="D59" s="205"/>
      <c r="E59" s="205"/>
      <c r="F59" s="238" t="str">
        <f t="array" ref="F59">IF(TRIM(C59)="","",IFERROR(_xlfn.XLOOKUP(TRIM(C59),'TERM 1 SUMMARY'!$C$15:$C$115,'TERM 1 SUMMARY'!$T$15:$T$115),""))</f>
        <v/>
      </c>
      <c r="G59" s="172"/>
      <c r="H59" s="172"/>
      <c r="I59" s="33"/>
      <c r="J59" s="239" t="str">
        <f t="array" ref="J59">IF(TRIM(C59)="","",IFERROR(_xlfn.XLOOKUP(TRIM(C59),'TERM 2 SUMMARY A'!$C$15:$C$115,'TERM 2 SUMMARY A'!$T$15:T$115),""))</f>
        <v/>
      </c>
      <c r="K59" s="172"/>
      <c r="L59" s="163"/>
      <c r="M59" s="239" t="str">
        <f t="array" ref="M59">IF(TRIM(C59)="","",IFERROR(_xlfn.XLOOKUP(TRIM(C59),'TERM 3 SUMMARY B'!$C$15:$C$115,'TERM 3 SUMMARY B'!$T$15:$T$115),""))</f>
        <v/>
      </c>
      <c r="N59" s="172"/>
      <c r="O59" s="163"/>
      <c r="P59" s="240" t="str">
        <f t="shared" si="1"/>
        <v/>
      </c>
      <c r="Q59" s="172"/>
      <c r="R59" s="33"/>
      <c r="S59" s="241" t="str">
        <f t="shared" si="2"/>
        <v/>
      </c>
      <c r="T59" s="163"/>
      <c r="U59" s="17"/>
      <c r="V59" s="17"/>
      <c r="W59" s="17"/>
      <c r="X59" s="17"/>
      <c r="Y59" s="17"/>
      <c r="Z59" s="17"/>
      <c r="AA59" s="17"/>
      <c r="AB59" s="17"/>
      <c r="AC59" s="17"/>
    </row>
    <row r="60" ht="15.75" customHeight="1">
      <c r="A60" s="17"/>
      <c r="B60" s="333">
        <v>46.0</v>
      </c>
      <c r="C60" s="229" t="str">
        <f>IF('INPUT DATA'!L56="","",'INPUT DATA'!L56)</f>
        <v/>
      </c>
      <c r="D60" s="205"/>
      <c r="E60" s="205"/>
      <c r="F60" s="238" t="str">
        <f t="array" ref="F60">IF(TRIM(C60)="","",IFERROR(_xlfn.XLOOKUP(TRIM(C60),'TERM 1 SUMMARY'!$C$15:$C$115,'TERM 1 SUMMARY'!$T$15:$T$115),""))</f>
        <v/>
      </c>
      <c r="G60" s="172"/>
      <c r="H60" s="172"/>
      <c r="I60" s="33"/>
      <c r="J60" s="239" t="str">
        <f t="array" ref="J60">IF(TRIM(C60)="","",IFERROR(_xlfn.XLOOKUP(TRIM(C60),'TERM 2 SUMMARY A'!$C$15:$C$115,'TERM 2 SUMMARY A'!$T$15:T$115),""))</f>
        <v/>
      </c>
      <c r="K60" s="172"/>
      <c r="L60" s="163"/>
      <c r="M60" s="239" t="str">
        <f t="array" ref="M60">IF(TRIM(C60)="","",IFERROR(_xlfn.XLOOKUP(TRIM(C60),'TERM 3 SUMMARY B'!$C$15:$C$115,'TERM 3 SUMMARY B'!$T$15:$T$115),""))</f>
        <v/>
      </c>
      <c r="N60" s="172"/>
      <c r="O60" s="163"/>
      <c r="P60" s="240" t="str">
        <f t="shared" si="1"/>
        <v/>
      </c>
      <c r="Q60" s="172"/>
      <c r="R60" s="33"/>
      <c r="S60" s="241" t="str">
        <f t="shared" si="2"/>
        <v/>
      </c>
      <c r="T60" s="163"/>
      <c r="U60" s="17"/>
      <c r="V60" s="17"/>
      <c r="W60" s="17"/>
      <c r="X60" s="17"/>
      <c r="Y60" s="17"/>
      <c r="Z60" s="17"/>
      <c r="AA60" s="17"/>
      <c r="AB60" s="17"/>
      <c r="AC60" s="17"/>
    </row>
    <row r="61" ht="15.75" customHeight="1">
      <c r="A61" s="17"/>
      <c r="B61" s="333">
        <v>47.0</v>
      </c>
      <c r="C61" s="229" t="str">
        <f>IF('INPUT DATA'!L57="","",'INPUT DATA'!L57)</f>
        <v/>
      </c>
      <c r="D61" s="205"/>
      <c r="E61" s="205"/>
      <c r="F61" s="238" t="str">
        <f t="array" ref="F61">IF(TRIM(C61)="","",IFERROR(_xlfn.XLOOKUP(TRIM(C61),'TERM 1 SUMMARY'!$C$15:$C$115,'TERM 1 SUMMARY'!$T$15:$T$115),""))</f>
        <v/>
      </c>
      <c r="G61" s="172"/>
      <c r="H61" s="172"/>
      <c r="I61" s="33"/>
      <c r="J61" s="239" t="str">
        <f t="array" ref="J61">IF(TRIM(C61)="","",IFERROR(_xlfn.XLOOKUP(TRIM(C61),'TERM 2 SUMMARY A'!$C$15:$C$115,'TERM 2 SUMMARY A'!$T$15:T$115),""))</f>
        <v/>
      </c>
      <c r="K61" s="172"/>
      <c r="L61" s="163"/>
      <c r="M61" s="239" t="str">
        <f t="array" ref="M61">IF(TRIM(C61)="","",IFERROR(_xlfn.XLOOKUP(TRIM(C61),'TERM 3 SUMMARY B'!$C$15:$C$115,'TERM 3 SUMMARY B'!$T$15:$T$115),""))</f>
        <v/>
      </c>
      <c r="N61" s="172"/>
      <c r="O61" s="163"/>
      <c r="P61" s="240" t="str">
        <f t="shared" si="1"/>
        <v/>
      </c>
      <c r="Q61" s="172"/>
      <c r="R61" s="33"/>
      <c r="S61" s="241" t="str">
        <f t="shared" si="2"/>
        <v/>
      </c>
      <c r="T61" s="163"/>
      <c r="U61" s="17"/>
      <c r="V61" s="17"/>
      <c r="W61" s="17"/>
      <c r="X61" s="17"/>
      <c r="Y61" s="17"/>
      <c r="Z61" s="17"/>
      <c r="AA61" s="17"/>
      <c r="AB61" s="17"/>
      <c r="AC61" s="17"/>
    </row>
    <row r="62" ht="15.75" customHeight="1">
      <c r="A62" s="17"/>
      <c r="B62" s="333">
        <v>48.0</v>
      </c>
      <c r="C62" s="229" t="str">
        <f>IF('INPUT DATA'!L58="","",'INPUT DATA'!L58)</f>
        <v/>
      </c>
      <c r="D62" s="205"/>
      <c r="E62" s="205"/>
      <c r="F62" s="238" t="str">
        <f t="array" ref="F62">IF(TRIM(C62)="","",IFERROR(_xlfn.XLOOKUP(TRIM(C62),'TERM 1 SUMMARY'!$C$15:$C$115,'TERM 1 SUMMARY'!$T$15:$T$115),""))</f>
        <v/>
      </c>
      <c r="G62" s="172"/>
      <c r="H62" s="172"/>
      <c r="I62" s="33"/>
      <c r="J62" s="239" t="str">
        <f t="array" ref="J62">IF(TRIM(C62)="","",IFERROR(_xlfn.XLOOKUP(TRIM(C62),'TERM 2 SUMMARY A'!$C$15:$C$115,'TERM 2 SUMMARY A'!$T$15:T$115),""))</f>
        <v/>
      </c>
      <c r="K62" s="172"/>
      <c r="L62" s="163"/>
      <c r="M62" s="239" t="str">
        <f t="array" ref="M62">IF(TRIM(C62)="","",IFERROR(_xlfn.XLOOKUP(TRIM(C62),'TERM 3 SUMMARY B'!$C$15:$C$115,'TERM 3 SUMMARY B'!$T$15:$T$115),""))</f>
        <v/>
      </c>
      <c r="N62" s="172"/>
      <c r="O62" s="163"/>
      <c r="P62" s="240" t="str">
        <f t="shared" si="1"/>
        <v/>
      </c>
      <c r="Q62" s="172"/>
      <c r="R62" s="33"/>
      <c r="S62" s="241" t="str">
        <f t="shared" si="2"/>
        <v/>
      </c>
      <c r="T62" s="163"/>
      <c r="U62" s="17"/>
      <c r="V62" s="17"/>
      <c r="W62" s="17"/>
      <c r="X62" s="17"/>
      <c r="Y62" s="17"/>
      <c r="Z62" s="17"/>
      <c r="AA62" s="17"/>
      <c r="AB62" s="17"/>
      <c r="AC62" s="17"/>
    </row>
    <row r="63" ht="15.75" customHeight="1">
      <c r="A63" s="17"/>
      <c r="B63" s="333">
        <v>49.0</v>
      </c>
      <c r="C63" s="229" t="str">
        <f>IF('INPUT DATA'!L59="","",'INPUT DATA'!L59)</f>
        <v/>
      </c>
      <c r="D63" s="205"/>
      <c r="E63" s="205"/>
      <c r="F63" s="238" t="str">
        <f t="array" ref="F63">IF(TRIM(C63)="","",IFERROR(_xlfn.XLOOKUP(TRIM(C63),'TERM 1 SUMMARY'!$C$15:$C$115,'TERM 1 SUMMARY'!$T$15:$T$115),""))</f>
        <v/>
      </c>
      <c r="G63" s="172"/>
      <c r="H63" s="172"/>
      <c r="I63" s="33"/>
      <c r="J63" s="239" t="str">
        <f t="array" ref="J63">IF(TRIM(C63)="","",IFERROR(_xlfn.XLOOKUP(TRIM(C63),'TERM 2 SUMMARY A'!$C$15:$C$115,'TERM 2 SUMMARY A'!$T$15:T$115),""))</f>
        <v/>
      </c>
      <c r="K63" s="172"/>
      <c r="L63" s="163"/>
      <c r="M63" s="239" t="str">
        <f t="array" ref="M63">IF(TRIM(C63)="","",IFERROR(_xlfn.XLOOKUP(TRIM(C63),'TERM 3 SUMMARY B'!$C$15:$C$115,'TERM 3 SUMMARY B'!$T$15:$T$115),""))</f>
        <v/>
      </c>
      <c r="N63" s="172"/>
      <c r="O63" s="163"/>
      <c r="P63" s="240" t="str">
        <f t="shared" si="1"/>
        <v/>
      </c>
      <c r="Q63" s="172"/>
      <c r="R63" s="33"/>
      <c r="S63" s="241" t="str">
        <f t="shared" si="2"/>
        <v/>
      </c>
      <c r="T63" s="163"/>
      <c r="U63" s="17"/>
      <c r="V63" s="17"/>
      <c r="W63" s="17"/>
      <c r="X63" s="17"/>
      <c r="Y63" s="17"/>
      <c r="Z63" s="17"/>
      <c r="AA63" s="17"/>
      <c r="AB63" s="17"/>
      <c r="AC63" s="17"/>
    </row>
    <row r="64" ht="15.75" customHeight="1">
      <c r="A64" s="17"/>
      <c r="B64" s="333">
        <v>50.0</v>
      </c>
      <c r="C64" s="229" t="str">
        <f>IF('INPUT DATA'!L60="","",'INPUT DATA'!L60)</f>
        <v/>
      </c>
      <c r="D64" s="205"/>
      <c r="E64" s="205"/>
      <c r="F64" s="335" t="str">
        <f t="array" ref="F64">IF(TRIM(C64)="","",IFERROR(_xlfn.XLOOKUP(TRIM(C64),'TERM 1 SUMMARY'!$C$15:$C$115,'TERM 1 SUMMARY'!$T$15:$T$115),""))</f>
        <v/>
      </c>
      <c r="G64" s="155"/>
      <c r="H64" s="155"/>
      <c r="I64" s="336"/>
      <c r="J64" s="337" t="str">
        <f t="array" ref="J64">IF(TRIM(C64)="","",IFERROR(_xlfn.XLOOKUP(TRIM(C64),'TERM 2 SUMMARY A'!$C$15:$C$115,'TERM 2 SUMMARY A'!$T$15:T$115),""))</f>
        <v/>
      </c>
      <c r="K64" s="155"/>
      <c r="L64" s="156"/>
      <c r="M64" s="337" t="str">
        <f t="array" ref="M64">IF(TRIM(C64)="","",IFERROR(_xlfn.XLOOKUP(TRIM(C64),'TERM 3 SUMMARY B'!$C$15:$C$115,'TERM 3 SUMMARY B'!$T$15:$T$115),""))</f>
        <v/>
      </c>
      <c r="N64" s="155"/>
      <c r="O64" s="156"/>
      <c r="P64" s="338" t="str">
        <f t="shared" si="1"/>
        <v/>
      </c>
      <c r="Q64" s="155"/>
      <c r="R64" s="336"/>
      <c r="S64" s="339" t="str">
        <f t="shared" si="2"/>
        <v/>
      </c>
      <c r="T64" s="156"/>
      <c r="U64" s="17"/>
      <c r="V64" s="17"/>
      <c r="W64" s="17"/>
      <c r="X64" s="17"/>
      <c r="Y64" s="17"/>
      <c r="Z64" s="17"/>
      <c r="AA64" s="17"/>
      <c r="AB64" s="17"/>
      <c r="AC64" s="17"/>
    </row>
    <row r="65" ht="15.75" customHeight="1">
      <c r="A65" s="17"/>
      <c r="B65" s="111" t="s">
        <v>12</v>
      </c>
      <c r="C65" s="29"/>
      <c r="D65" s="29"/>
      <c r="E65" s="29"/>
      <c r="F65" s="29"/>
      <c r="G65" s="29"/>
      <c r="H65" s="29"/>
      <c r="I65" s="29"/>
      <c r="J65" s="29"/>
      <c r="K65" s="29"/>
      <c r="L65" s="29"/>
      <c r="M65" s="29"/>
      <c r="N65" s="29"/>
      <c r="O65" s="29"/>
      <c r="P65" s="29"/>
      <c r="Q65" s="29"/>
      <c r="R65" s="29"/>
      <c r="S65" s="29"/>
      <c r="T65" s="30"/>
      <c r="U65" s="17"/>
      <c r="V65" s="17"/>
      <c r="W65" s="17"/>
      <c r="X65" s="17"/>
      <c r="Y65" s="17"/>
      <c r="Z65" s="17"/>
      <c r="AA65" s="17"/>
      <c r="AB65" s="17"/>
      <c r="AC65" s="17"/>
    </row>
    <row r="66" ht="15.75" customHeight="1">
      <c r="A66" s="17"/>
      <c r="B66" s="228">
        <v>1.0</v>
      </c>
      <c r="C66" s="229" t="str">
        <f>IF('INPUT DATA'!Q11="","",'INPUT DATA'!Q11)</f>
        <v/>
      </c>
      <c r="D66" s="205"/>
      <c r="E66" s="205"/>
      <c r="F66" s="340" t="str">
        <f t="array" ref="F66">IF(TRIM(C66)="","",IFERROR(_xlfn.XLOOKUP(TRIM(C66),'TERM 1 SUMMARY'!$C$66:$C$115,'TERM 1 SUMMARY'!$T$66:$T$115),""))</f>
        <v/>
      </c>
      <c r="G66" s="205"/>
      <c r="H66" s="205"/>
      <c r="I66" s="205"/>
      <c r="J66" s="341" t="str">
        <f t="array" ref="J66">IF(TRIM(C66)="","",IFERROR(_xlfn.XLOOKUP(TRIM(C66),'TERM 2 SUMMARY A'!$C$15:$C$115,'TERM 2 SUMMARY A'!$T$15:T$115),""))</f>
        <v/>
      </c>
      <c r="L66" s="68"/>
      <c r="M66" s="341" t="str">
        <f t="array" ref="M66">IF(TRIM(C66)="","",IFERROR(_xlfn.XLOOKUP(TRIM(C66),'TERM 3 SUMMARY B'!$C$15:$C$115,'TERM 3 SUMMARY B'!$T$15:$T$115),""))</f>
        <v/>
      </c>
      <c r="O66" s="68"/>
      <c r="P66" s="342" t="str">
        <f t="shared" ref="P66:P115" si="3">IF(C66="","",IF(COUNT($F66:$M66)=0,"",SUM($F66:$M66)/3))</f>
        <v/>
      </c>
      <c r="Q66" s="205"/>
      <c r="R66" s="205"/>
      <c r="S66" s="343" t="str">
        <f t="shared" ref="S66:S115" si="4">IF(P66="","",_xlfn.RANK.AVG(P66,$P$15:$P$115))</f>
        <v/>
      </c>
      <c r="T66" s="206"/>
      <c r="U66" s="17"/>
      <c r="V66" s="17"/>
      <c r="W66" s="17"/>
      <c r="X66" s="17"/>
      <c r="Y66" s="17"/>
      <c r="Z66" s="17"/>
      <c r="AA66" s="17"/>
      <c r="AB66" s="17"/>
      <c r="AC66" s="17"/>
    </row>
    <row r="67" ht="15.75" customHeight="1">
      <c r="A67" s="17"/>
      <c r="B67" s="237">
        <v>2.0</v>
      </c>
      <c r="C67" s="229" t="str">
        <f>IF('INPUT DATA'!Q12="","",'INPUT DATA'!Q12)</f>
        <v/>
      </c>
      <c r="D67" s="205"/>
      <c r="E67" s="205"/>
      <c r="F67" s="340" t="str">
        <f t="array" ref="F67">IF(TRIM(C67)="","",IFERROR(_xlfn.XLOOKUP(TRIM(C67),'TERM 1 SUMMARY'!$C$66:$C$115,'TERM 1 SUMMARY'!$T$66:$T$115),""))</f>
        <v/>
      </c>
      <c r="G67" s="205"/>
      <c r="H67" s="205"/>
      <c r="I67" s="205"/>
      <c r="J67" s="239" t="str">
        <f t="array" ref="J67">IF(TRIM(C67)="","",IFERROR(_xlfn.XLOOKUP(TRIM(C67),'TERM 2 SUMMARY A'!$C$15:$C$115,'TERM 2 SUMMARY A'!$T$15:T$115),""))</f>
        <v/>
      </c>
      <c r="K67" s="172"/>
      <c r="L67" s="163"/>
      <c r="M67" s="239" t="str">
        <f t="array" ref="M67">IF(TRIM(C67)="","",IFERROR(_xlfn.XLOOKUP(TRIM(C67),'TERM 3 SUMMARY B'!$C$15:$C$115,'TERM 3 SUMMARY B'!$T$15:$T$115),""))</f>
        <v/>
      </c>
      <c r="N67" s="172"/>
      <c r="O67" s="163"/>
      <c r="P67" s="342" t="str">
        <f t="shared" si="3"/>
        <v/>
      </c>
      <c r="Q67" s="205"/>
      <c r="R67" s="205"/>
      <c r="S67" s="343" t="str">
        <f t="shared" si="4"/>
        <v/>
      </c>
      <c r="T67" s="206"/>
      <c r="U67" s="17"/>
      <c r="V67" s="17"/>
      <c r="W67" s="17"/>
      <c r="X67" s="17"/>
      <c r="Y67" s="17"/>
      <c r="Z67" s="17"/>
      <c r="AA67" s="17"/>
      <c r="AB67" s="17"/>
      <c r="AC67" s="17"/>
    </row>
    <row r="68" ht="15.75" customHeight="1">
      <c r="A68" s="17"/>
      <c r="B68" s="237">
        <v>3.0</v>
      </c>
      <c r="C68" s="229" t="str">
        <f>IF('INPUT DATA'!Q13="","",'INPUT DATA'!Q13)</f>
        <v/>
      </c>
      <c r="D68" s="205"/>
      <c r="E68" s="205"/>
      <c r="F68" s="340" t="str">
        <f t="array" ref="F68">IF(TRIM(C68)="","",IFERROR(_xlfn.XLOOKUP(TRIM(C68),'TERM 1 SUMMARY'!$C$66:$C$115,'TERM 1 SUMMARY'!$T$66:$T$115),""))</f>
        <v/>
      </c>
      <c r="G68" s="205"/>
      <c r="H68" s="205"/>
      <c r="I68" s="205"/>
      <c r="J68" s="239" t="str">
        <f t="array" ref="J68">IF(TRIM(C68)="","",IFERROR(_xlfn.XLOOKUP(TRIM(C68),'TERM 2 SUMMARY A'!$C$15:$C$115,'TERM 2 SUMMARY A'!$T$15:T$115),""))</f>
        <v/>
      </c>
      <c r="K68" s="172"/>
      <c r="L68" s="163"/>
      <c r="M68" s="239" t="str">
        <f t="array" ref="M68">IF(TRIM(C68)="","",IFERROR(_xlfn.XLOOKUP(TRIM(C68),'TERM 3 SUMMARY B'!$C$15:$C$115,'TERM 3 SUMMARY B'!$T$15:$T$115),""))</f>
        <v/>
      </c>
      <c r="N68" s="172"/>
      <c r="O68" s="163"/>
      <c r="P68" s="342" t="str">
        <f t="shared" si="3"/>
        <v/>
      </c>
      <c r="Q68" s="205"/>
      <c r="R68" s="205"/>
      <c r="S68" s="343" t="str">
        <f t="shared" si="4"/>
        <v/>
      </c>
      <c r="T68" s="206"/>
      <c r="U68" s="17"/>
      <c r="V68" s="17"/>
      <c r="W68" s="17"/>
      <c r="X68" s="17"/>
      <c r="Y68" s="17"/>
      <c r="Z68" s="17"/>
      <c r="AA68" s="17"/>
      <c r="AB68" s="17"/>
      <c r="AC68" s="17"/>
    </row>
    <row r="69" ht="15.75" customHeight="1">
      <c r="A69" s="17"/>
      <c r="B69" s="237">
        <v>4.0</v>
      </c>
      <c r="C69" s="229" t="str">
        <f>IF('INPUT DATA'!Q14="","",'INPUT DATA'!Q14)</f>
        <v/>
      </c>
      <c r="D69" s="205"/>
      <c r="E69" s="205"/>
      <c r="F69" s="340" t="str">
        <f t="array" ref="F69">IF(TRIM(C69)="","",IFERROR(_xlfn.XLOOKUP(TRIM(C69),'TERM 1 SUMMARY'!$C$66:$C$115,'TERM 1 SUMMARY'!$T$66:$T$115),""))</f>
        <v/>
      </c>
      <c r="G69" s="205"/>
      <c r="H69" s="205"/>
      <c r="I69" s="205"/>
      <c r="J69" s="239" t="str">
        <f t="array" ref="J69">IF(TRIM(C69)="","",IFERROR(_xlfn.XLOOKUP(TRIM(C69),'TERM 2 SUMMARY A'!$C$15:$C$115,'TERM 2 SUMMARY A'!$T$15:T$115),""))</f>
        <v/>
      </c>
      <c r="K69" s="172"/>
      <c r="L69" s="163"/>
      <c r="M69" s="239" t="str">
        <f t="array" ref="M69">IF(TRIM(C69)="","",IFERROR(_xlfn.XLOOKUP(TRIM(C69),'TERM 3 SUMMARY B'!$C$15:$C$115,'TERM 3 SUMMARY B'!$T$15:$T$115),""))</f>
        <v/>
      </c>
      <c r="N69" s="172"/>
      <c r="O69" s="163"/>
      <c r="P69" s="342" t="str">
        <f t="shared" si="3"/>
        <v/>
      </c>
      <c r="Q69" s="205"/>
      <c r="R69" s="205"/>
      <c r="S69" s="343" t="str">
        <f t="shared" si="4"/>
        <v/>
      </c>
      <c r="T69" s="206"/>
      <c r="U69" s="17"/>
      <c r="V69" s="17"/>
      <c r="W69" s="17"/>
      <c r="X69" s="17"/>
      <c r="Y69" s="17"/>
      <c r="Z69" s="17"/>
      <c r="AA69" s="17"/>
      <c r="AB69" s="17"/>
      <c r="AC69" s="17"/>
    </row>
    <row r="70" ht="15.75" customHeight="1">
      <c r="A70" s="17"/>
      <c r="B70" s="237">
        <v>5.0</v>
      </c>
      <c r="C70" s="229" t="str">
        <f>IF('INPUT DATA'!Q15="","",'INPUT DATA'!Q15)</f>
        <v/>
      </c>
      <c r="D70" s="205"/>
      <c r="E70" s="205"/>
      <c r="F70" s="340" t="str">
        <f t="array" ref="F70">IF(TRIM(C70)="","",IFERROR(_xlfn.XLOOKUP(TRIM(C70),'TERM 1 SUMMARY'!$C$66:$C$115,'TERM 1 SUMMARY'!$T$66:$T$115),""))</f>
        <v/>
      </c>
      <c r="G70" s="205"/>
      <c r="H70" s="205"/>
      <c r="I70" s="205"/>
      <c r="J70" s="239" t="str">
        <f t="array" ref="J70">IF(TRIM(C70)="","",IFERROR(_xlfn.XLOOKUP(TRIM(C70),'TERM 2 SUMMARY A'!$C$15:$C$115,'TERM 2 SUMMARY A'!$T$15:T$115),""))</f>
        <v/>
      </c>
      <c r="K70" s="172"/>
      <c r="L70" s="163"/>
      <c r="M70" s="239" t="str">
        <f t="array" ref="M70">IF(TRIM(C70)="","",IFERROR(_xlfn.XLOOKUP(TRIM(C70),'TERM 3 SUMMARY B'!$C$15:$C$115,'TERM 3 SUMMARY B'!$T$15:$T$115),""))</f>
        <v/>
      </c>
      <c r="N70" s="172"/>
      <c r="O70" s="163"/>
      <c r="P70" s="342" t="str">
        <f t="shared" si="3"/>
        <v/>
      </c>
      <c r="Q70" s="205"/>
      <c r="R70" s="205"/>
      <c r="S70" s="343" t="str">
        <f t="shared" si="4"/>
        <v/>
      </c>
      <c r="T70" s="206"/>
      <c r="U70" s="17"/>
      <c r="V70" s="17"/>
      <c r="W70" s="17"/>
      <c r="X70" s="17"/>
      <c r="Y70" s="17"/>
      <c r="Z70" s="17"/>
      <c r="AA70" s="17"/>
      <c r="AB70" s="17"/>
      <c r="AC70" s="17"/>
    </row>
    <row r="71" ht="15.75" customHeight="1">
      <c r="A71" s="17"/>
      <c r="B71" s="237">
        <v>6.0</v>
      </c>
      <c r="C71" s="229" t="str">
        <f>IF('INPUT DATA'!Q16="","",'INPUT DATA'!Q16)</f>
        <v/>
      </c>
      <c r="D71" s="205"/>
      <c r="E71" s="205"/>
      <c r="F71" s="340" t="str">
        <f t="array" ref="F71">IF(TRIM(C71)="","",IFERROR(_xlfn.XLOOKUP(TRIM(C71),'TERM 1 SUMMARY'!$C$66:$C$115,'TERM 1 SUMMARY'!$T$66:$T$115),""))</f>
        <v/>
      </c>
      <c r="G71" s="205"/>
      <c r="H71" s="205"/>
      <c r="I71" s="205"/>
      <c r="J71" s="239" t="str">
        <f t="array" ref="J71">IF(TRIM(C71)="","",IFERROR(_xlfn.XLOOKUP(TRIM(C71),'TERM 2 SUMMARY A'!$C$15:$C$115,'TERM 2 SUMMARY A'!$T$15:T$115),""))</f>
        <v/>
      </c>
      <c r="K71" s="172"/>
      <c r="L71" s="163"/>
      <c r="M71" s="239" t="str">
        <f t="array" ref="M71">IF(TRIM(C71)="","",IFERROR(_xlfn.XLOOKUP(TRIM(C71),'TERM 3 SUMMARY B'!$C$15:$C$115,'TERM 3 SUMMARY B'!$T$15:$T$115),""))</f>
        <v/>
      </c>
      <c r="N71" s="172"/>
      <c r="O71" s="163"/>
      <c r="P71" s="342" t="str">
        <f t="shared" si="3"/>
        <v/>
      </c>
      <c r="Q71" s="205"/>
      <c r="R71" s="205"/>
      <c r="S71" s="343" t="str">
        <f t="shared" si="4"/>
        <v/>
      </c>
      <c r="T71" s="206"/>
      <c r="U71" s="17"/>
      <c r="V71" s="17"/>
      <c r="W71" s="17"/>
      <c r="X71" s="17"/>
      <c r="Y71" s="17"/>
      <c r="Z71" s="17"/>
      <c r="AA71" s="17"/>
      <c r="AB71" s="17"/>
      <c r="AC71" s="17"/>
    </row>
    <row r="72" ht="15.75" customHeight="1">
      <c r="A72" s="17"/>
      <c r="B72" s="237">
        <v>7.0</v>
      </c>
      <c r="C72" s="229" t="str">
        <f>IF('INPUT DATA'!Q17="","",'INPUT DATA'!Q17)</f>
        <v/>
      </c>
      <c r="D72" s="205"/>
      <c r="E72" s="205"/>
      <c r="F72" s="340" t="str">
        <f t="array" ref="F72">IF(TRIM(C72)="","",IFERROR(_xlfn.XLOOKUP(TRIM(C72),'TERM 1 SUMMARY'!$C$66:$C$115,'TERM 1 SUMMARY'!$T$66:$T$115),""))</f>
        <v/>
      </c>
      <c r="G72" s="205"/>
      <c r="H72" s="205"/>
      <c r="I72" s="205"/>
      <c r="J72" s="239" t="str">
        <f t="array" ref="J72">IF(TRIM(C72)="","",IFERROR(_xlfn.XLOOKUP(TRIM(C72),'TERM 2 SUMMARY A'!$C$15:$C$115,'TERM 2 SUMMARY A'!$T$15:T$115),""))</f>
        <v/>
      </c>
      <c r="K72" s="172"/>
      <c r="L72" s="163"/>
      <c r="M72" s="239" t="str">
        <f t="array" ref="M72">IF(TRIM(C72)="","",IFERROR(_xlfn.XLOOKUP(TRIM(C72),'TERM 3 SUMMARY B'!$C$15:$C$115,'TERM 3 SUMMARY B'!$T$15:$T$115),""))</f>
        <v/>
      </c>
      <c r="N72" s="172"/>
      <c r="O72" s="163"/>
      <c r="P72" s="342" t="str">
        <f t="shared" si="3"/>
        <v/>
      </c>
      <c r="Q72" s="205"/>
      <c r="R72" s="205"/>
      <c r="S72" s="343" t="str">
        <f t="shared" si="4"/>
        <v/>
      </c>
      <c r="T72" s="206"/>
      <c r="U72" s="17"/>
      <c r="V72" s="17"/>
      <c r="W72" s="17"/>
      <c r="X72" s="17"/>
      <c r="Y72" s="17"/>
      <c r="Z72" s="17"/>
      <c r="AA72" s="17"/>
      <c r="AB72" s="17"/>
      <c r="AC72" s="17"/>
    </row>
    <row r="73" ht="15.75" customHeight="1">
      <c r="A73" s="17"/>
      <c r="B73" s="237">
        <v>8.0</v>
      </c>
      <c r="C73" s="229" t="str">
        <f>IF('INPUT DATA'!Q18="","",'INPUT DATA'!Q18)</f>
        <v/>
      </c>
      <c r="D73" s="205"/>
      <c r="E73" s="205"/>
      <c r="F73" s="340" t="str">
        <f t="array" ref="F73">IF(TRIM(C73)="","",IFERROR(_xlfn.XLOOKUP(TRIM(C73),'TERM 1 SUMMARY'!$C$66:$C$115,'TERM 1 SUMMARY'!$T$66:$T$115),""))</f>
        <v/>
      </c>
      <c r="G73" s="205"/>
      <c r="H73" s="205"/>
      <c r="I73" s="205"/>
      <c r="J73" s="239" t="str">
        <f t="array" ref="J73">IF(TRIM(C73)="","",IFERROR(_xlfn.XLOOKUP(TRIM(C73),'TERM 2 SUMMARY A'!$C$15:$C$115,'TERM 2 SUMMARY A'!$T$15:T$115),""))</f>
        <v/>
      </c>
      <c r="K73" s="172"/>
      <c r="L73" s="163"/>
      <c r="M73" s="239" t="str">
        <f t="array" ref="M73">IF(TRIM(C73)="","",IFERROR(_xlfn.XLOOKUP(TRIM(C73),'TERM 3 SUMMARY B'!$C$15:$C$115,'TERM 3 SUMMARY B'!$T$15:$T$115),""))</f>
        <v/>
      </c>
      <c r="N73" s="172"/>
      <c r="O73" s="163"/>
      <c r="P73" s="342" t="str">
        <f t="shared" si="3"/>
        <v/>
      </c>
      <c r="Q73" s="205"/>
      <c r="R73" s="205"/>
      <c r="S73" s="343" t="str">
        <f t="shared" si="4"/>
        <v/>
      </c>
      <c r="T73" s="206"/>
      <c r="U73" s="17"/>
      <c r="V73" s="17"/>
      <c r="W73" s="17"/>
      <c r="X73" s="17"/>
      <c r="Y73" s="17"/>
      <c r="Z73" s="17"/>
      <c r="AA73" s="17"/>
      <c r="AB73" s="17"/>
      <c r="AC73" s="17"/>
    </row>
    <row r="74" ht="15.75" customHeight="1">
      <c r="A74" s="17"/>
      <c r="B74" s="237">
        <v>9.0</v>
      </c>
      <c r="C74" s="229" t="str">
        <f>IF('INPUT DATA'!Q19="","",'INPUT DATA'!Q19)</f>
        <v/>
      </c>
      <c r="D74" s="205"/>
      <c r="E74" s="205"/>
      <c r="F74" s="340" t="str">
        <f t="array" ref="F74">IF(TRIM(C74)="","",IFERROR(_xlfn.XLOOKUP(TRIM(C74),'TERM 1 SUMMARY'!$C$66:$C$115,'TERM 1 SUMMARY'!$T$66:$T$115),""))</f>
        <v/>
      </c>
      <c r="G74" s="205"/>
      <c r="H74" s="205"/>
      <c r="I74" s="205"/>
      <c r="J74" s="239" t="str">
        <f t="array" ref="J74">IF(TRIM(C74)="","",IFERROR(_xlfn.XLOOKUP(TRIM(C74),'TERM 2 SUMMARY A'!$C$15:$C$115,'TERM 2 SUMMARY A'!$T$15:T$115),""))</f>
        <v/>
      </c>
      <c r="K74" s="172"/>
      <c r="L74" s="163"/>
      <c r="M74" s="239" t="str">
        <f t="array" ref="M74">IF(TRIM(C74)="","",IFERROR(_xlfn.XLOOKUP(TRIM(C74),'TERM 3 SUMMARY B'!$C$15:$C$115,'TERM 3 SUMMARY B'!$T$15:$T$115),""))</f>
        <v/>
      </c>
      <c r="N74" s="172"/>
      <c r="O74" s="163"/>
      <c r="P74" s="342" t="str">
        <f t="shared" si="3"/>
        <v/>
      </c>
      <c r="Q74" s="205"/>
      <c r="R74" s="205"/>
      <c r="S74" s="343" t="str">
        <f t="shared" si="4"/>
        <v/>
      </c>
      <c r="T74" s="206"/>
      <c r="U74" s="17"/>
      <c r="V74" s="17"/>
      <c r="W74" s="17"/>
      <c r="X74" s="17"/>
      <c r="Y74" s="17"/>
      <c r="Z74" s="17"/>
      <c r="AA74" s="17"/>
      <c r="AB74" s="17"/>
      <c r="AC74" s="17"/>
    </row>
    <row r="75" ht="15.75" customHeight="1">
      <c r="A75" s="17"/>
      <c r="B75" s="237">
        <v>10.0</v>
      </c>
      <c r="C75" s="229" t="str">
        <f>IF('INPUT DATA'!Q20="","",'INPUT DATA'!Q20)</f>
        <v/>
      </c>
      <c r="D75" s="205"/>
      <c r="E75" s="205"/>
      <c r="F75" s="340" t="str">
        <f t="array" ref="F75">IF(TRIM(C75)="","",IFERROR(_xlfn.XLOOKUP(TRIM(C75),'TERM 1 SUMMARY'!$C$66:$C$115,'TERM 1 SUMMARY'!$T$66:$T$115),""))</f>
        <v/>
      </c>
      <c r="G75" s="205"/>
      <c r="H75" s="205"/>
      <c r="I75" s="205"/>
      <c r="J75" s="239" t="str">
        <f t="array" ref="J75">IF(TRIM(C75)="","",IFERROR(_xlfn.XLOOKUP(TRIM(C75),'TERM 2 SUMMARY A'!$C$15:$C$115,'TERM 2 SUMMARY A'!$T$15:T$115),""))</f>
        <v/>
      </c>
      <c r="K75" s="172"/>
      <c r="L75" s="163"/>
      <c r="M75" s="239" t="str">
        <f t="array" ref="M75">IF(TRIM(C75)="","",IFERROR(_xlfn.XLOOKUP(TRIM(C75),'TERM 3 SUMMARY B'!$C$15:$C$115,'TERM 3 SUMMARY B'!$T$15:$T$115),""))</f>
        <v/>
      </c>
      <c r="N75" s="172"/>
      <c r="O75" s="163"/>
      <c r="P75" s="342" t="str">
        <f t="shared" si="3"/>
        <v/>
      </c>
      <c r="Q75" s="205"/>
      <c r="R75" s="205"/>
      <c r="S75" s="343" t="str">
        <f t="shared" si="4"/>
        <v/>
      </c>
      <c r="T75" s="206"/>
      <c r="U75" s="17"/>
      <c r="V75" s="17"/>
      <c r="W75" s="17"/>
      <c r="X75" s="17"/>
      <c r="Y75" s="17"/>
      <c r="Z75" s="17"/>
      <c r="AA75" s="17"/>
      <c r="AB75" s="17"/>
      <c r="AC75" s="17"/>
    </row>
    <row r="76" ht="15.75" customHeight="1">
      <c r="A76" s="17"/>
      <c r="B76" s="237">
        <v>11.0</v>
      </c>
      <c r="C76" s="229" t="str">
        <f>IF('INPUT DATA'!Q21="","",'INPUT DATA'!Q21)</f>
        <v/>
      </c>
      <c r="D76" s="205"/>
      <c r="E76" s="205"/>
      <c r="F76" s="340" t="str">
        <f t="array" ref="F76">IF(TRIM(C76)="","",IFERROR(_xlfn.XLOOKUP(TRIM(C76),'TERM 1 SUMMARY'!$C$66:$C$115,'TERM 1 SUMMARY'!$T$66:$T$115),""))</f>
        <v/>
      </c>
      <c r="G76" s="205"/>
      <c r="H76" s="205"/>
      <c r="I76" s="205"/>
      <c r="J76" s="239" t="str">
        <f t="array" ref="J76">IF(TRIM(C76)="","",IFERROR(_xlfn.XLOOKUP(TRIM(C76),'TERM 2 SUMMARY A'!$C$15:$C$115,'TERM 2 SUMMARY A'!$T$15:T$115),""))</f>
        <v/>
      </c>
      <c r="K76" s="172"/>
      <c r="L76" s="163"/>
      <c r="M76" s="239" t="str">
        <f t="array" ref="M76">IF(TRIM(C76)="","",IFERROR(_xlfn.XLOOKUP(TRIM(C76),'TERM 3 SUMMARY B'!$C$15:$C$115,'TERM 3 SUMMARY B'!$T$15:$T$115),""))</f>
        <v/>
      </c>
      <c r="N76" s="172"/>
      <c r="O76" s="163"/>
      <c r="P76" s="342" t="str">
        <f t="shared" si="3"/>
        <v/>
      </c>
      <c r="Q76" s="205"/>
      <c r="R76" s="205"/>
      <c r="S76" s="343" t="str">
        <f t="shared" si="4"/>
        <v/>
      </c>
      <c r="T76" s="206"/>
      <c r="U76" s="17"/>
      <c r="V76" s="17"/>
      <c r="W76" s="17"/>
      <c r="X76" s="17"/>
      <c r="Y76" s="17"/>
      <c r="Z76" s="17"/>
      <c r="AA76" s="17"/>
      <c r="AB76" s="17"/>
      <c r="AC76" s="17"/>
    </row>
    <row r="77" ht="15.75" customHeight="1">
      <c r="A77" s="17"/>
      <c r="B77" s="237">
        <v>12.0</v>
      </c>
      <c r="C77" s="229" t="str">
        <f>IF('INPUT DATA'!Q22="","",'INPUT DATA'!Q22)</f>
        <v/>
      </c>
      <c r="D77" s="205"/>
      <c r="E77" s="205"/>
      <c r="F77" s="340" t="str">
        <f t="array" ref="F77">IF(TRIM(C77)="","",IFERROR(_xlfn.XLOOKUP(TRIM(C77),'TERM 1 SUMMARY'!$C$66:$C$115,'TERM 1 SUMMARY'!$T$66:$T$115),""))</f>
        <v/>
      </c>
      <c r="G77" s="205"/>
      <c r="H77" s="205"/>
      <c r="I77" s="205"/>
      <c r="J77" s="239" t="str">
        <f t="array" ref="J77">IF(TRIM(C77)="","",IFERROR(_xlfn.XLOOKUP(TRIM(C77),'TERM 2 SUMMARY A'!$C$15:$C$115,'TERM 2 SUMMARY A'!$T$15:T$115),""))</f>
        <v/>
      </c>
      <c r="K77" s="172"/>
      <c r="L77" s="163"/>
      <c r="M77" s="239" t="str">
        <f t="array" ref="M77">IF(TRIM(C77)="","",IFERROR(_xlfn.XLOOKUP(TRIM(C77),'TERM 3 SUMMARY B'!$C$15:$C$115,'TERM 3 SUMMARY B'!$T$15:$T$115),""))</f>
        <v/>
      </c>
      <c r="N77" s="172"/>
      <c r="O77" s="163"/>
      <c r="P77" s="342" t="str">
        <f t="shared" si="3"/>
        <v/>
      </c>
      <c r="Q77" s="205"/>
      <c r="R77" s="205"/>
      <c r="S77" s="343" t="str">
        <f t="shared" si="4"/>
        <v/>
      </c>
      <c r="T77" s="206"/>
      <c r="U77" s="17"/>
      <c r="V77" s="17"/>
      <c r="W77" s="17"/>
      <c r="X77" s="17"/>
      <c r="Y77" s="17"/>
      <c r="Z77" s="17"/>
      <c r="AA77" s="17"/>
      <c r="AB77" s="17"/>
      <c r="AC77" s="17"/>
    </row>
    <row r="78" ht="15.75" customHeight="1">
      <c r="A78" s="17"/>
      <c r="B78" s="237">
        <v>13.0</v>
      </c>
      <c r="C78" s="229" t="str">
        <f>IF('INPUT DATA'!Q23="","",'INPUT DATA'!Q23)</f>
        <v/>
      </c>
      <c r="D78" s="205"/>
      <c r="E78" s="205"/>
      <c r="F78" s="340" t="str">
        <f t="array" ref="F78">IF(TRIM(C78)="","",IFERROR(_xlfn.XLOOKUP(TRIM(C78),'TERM 1 SUMMARY'!$C$66:$C$115,'TERM 1 SUMMARY'!$T$66:$T$115),""))</f>
        <v/>
      </c>
      <c r="G78" s="205"/>
      <c r="H78" s="205"/>
      <c r="I78" s="205"/>
      <c r="J78" s="239" t="str">
        <f t="array" ref="J78">IF(TRIM(C78)="","",IFERROR(_xlfn.XLOOKUP(TRIM(C78),'TERM 2 SUMMARY A'!$C$15:$C$115,'TERM 2 SUMMARY A'!$T$15:T$115),""))</f>
        <v/>
      </c>
      <c r="K78" s="172"/>
      <c r="L78" s="163"/>
      <c r="M78" s="239" t="str">
        <f t="array" ref="M78">IF(TRIM(C78)="","",IFERROR(_xlfn.XLOOKUP(TRIM(C78),'TERM 3 SUMMARY B'!$C$15:$C$115,'TERM 3 SUMMARY B'!$T$15:$T$115),""))</f>
        <v/>
      </c>
      <c r="N78" s="172"/>
      <c r="O78" s="163"/>
      <c r="P78" s="342" t="str">
        <f t="shared" si="3"/>
        <v/>
      </c>
      <c r="Q78" s="205"/>
      <c r="R78" s="205"/>
      <c r="S78" s="343" t="str">
        <f t="shared" si="4"/>
        <v/>
      </c>
      <c r="T78" s="206"/>
      <c r="U78" s="17"/>
      <c r="V78" s="17"/>
      <c r="W78" s="17"/>
      <c r="X78" s="17"/>
      <c r="Y78" s="17"/>
      <c r="Z78" s="17"/>
      <c r="AA78" s="17"/>
      <c r="AB78" s="17"/>
      <c r="AC78" s="17"/>
    </row>
    <row r="79" ht="15.75" customHeight="1">
      <c r="A79" s="17"/>
      <c r="B79" s="237">
        <v>14.0</v>
      </c>
      <c r="C79" s="229" t="str">
        <f>IF('INPUT DATA'!Q24="","",'INPUT DATA'!Q24)</f>
        <v/>
      </c>
      <c r="D79" s="205"/>
      <c r="E79" s="205"/>
      <c r="F79" s="340" t="str">
        <f t="array" ref="F79">IF(TRIM(C79)="","",IFERROR(_xlfn.XLOOKUP(TRIM(C79),'TERM 1 SUMMARY'!$C$66:$C$115,'TERM 1 SUMMARY'!$T$66:$T$115),""))</f>
        <v/>
      </c>
      <c r="G79" s="205"/>
      <c r="H79" s="205"/>
      <c r="I79" s="205"/>
      <c r="J79" s="239" t="str">
        <f t="array" ref="J79">IF(TRIM(C79)="","",IFERROR(_xlfn.XLOOKUP(TRIM(C79),'TERM 2 SUMMARY A'!$C$15:$C$115,'TERM 2 SUMMARY A'!$T$15:T$115),""))</f>
        <v/>
      </c>
      <c r="K79" s="172"/>
      <c r="L79" s="163"/>
      <c r="M79" s="239" t="str">
        <f t="array" ref="M79">IF(TRIM(C79)="","",IFERROR(_xlfn.XLOOKUP(TRIM(C79),'TERM 3 SUMMARY B'!$C$15:$C$115,'TERM 3 SUMMARY B'!$T$15:$T$115),""))</f>
        <v/>
      </c>
      <c r="N79" s="172"/>
      <c r="O79" s="163"/>
      <c r="P79" s="342" t="str">
        <f t="shared" si="3"/>
        <v/>
      </c>
      <c r="Q79" s="205"/>
      <c r="R79" s="205"/>
      <c r="S79" s="343" t="str">
        <f t="shared" si="4"/>
        <v/>
      </c>
      <c r="T79" s="206"/>
      <c r="U79" s="17"/>
      <c r="V79" s="17"/>
      <c r="W79" s="17"/>
      <c r="X79" s="17"/>
      <c r="Y79" s="17"/>
      <c r="Z79" s="17"/>
      <c r="AA79" s="17"/>
      <c r="AB79" s="17"/>
      <c r="AC79" s="17"/>
    </row>
    <row r="80" ht="15.75" customHeight="1">
      <c r="A80" s="17"/>
      <c r="B80" s="237">
        <v>15.0</v>
      </c>
      <c r="C80" s="229" t="str">
        <f>IF('INPUT DATA'!Q25="","",'INPUT DATA'!Q25)</f>
        <v/>
      </c>
      <c r="D80" s="205"/>
      <c r="E80" s="205"/>
      <c r="F80" s="340" t="str">
        <f t="array" ref="F80">IF(TRIM(C80)="","",IFERROR(_xlfn.XLOOKUP(TRIM(C80),'TERM 1 SUMMARY'!$C$66:$C$115,'TERM 1 SUMMARY'!$T$66:$T$115),""))</f>
        <v/>
      </c>
      <c r="G80" s="205"/>
      <c r="H80" s="205"/>
      <c r="I80" s="205"/>
      <c r="J80" s="239" t="str">
        <f t="array" ref="J80">IF(TRIM(C80)="","",IFERROR(_xlfn.XLOOKUP(TRIM(C80),'TERM 2 SUMMARY A'!$C$15:$C$115,'TERM 2 SUMMARY A'!$T$15:T$115),""))</f>
        <v/>
      </c>
      <c r="K80" s="172"/>
      <c r="L80" s="163"/>
      <c r="M80" s="239" t="str">
        <f t="array" ref="M80">IF(TRIM(C80)="","",IFERROR(_xlfn.XLOOKUP(TRIM(C80),'TERM 3 SUMMARY B'!$C$15:$C$115,'TERM 3 SUMMARY B'!$T$15:$T$115),""))</f>
        <v/>
      </c>
      <c r="N80" s="172"/>
      <c r="O80" s="163"/>
      <c r="P80" s="342" t="str">
        <f t="shared" si="3"/>
        <v/>
      </c>
      <c r="Q80" s="205"/>
      <c r="R80" s="205"/>
      <c r="S80" s="343" t="str">
        <f t="shared" si="4"/>
        <v/>
      </c>
      <c r="T80" s="206"/>
      <c r="U80" s="17"/>
      <c r="V80" s="17"/>
      <c r="W80" s="17"/>
      <c r="X80" s="17"/>
      <c r="Y80" s="17"/>
      <c r="Z80" s="17"/>
      <c r="AA80" s="17"/>
      <c r="AB80" s="17"/>
      <c r="AC80" s="17"/>
    </row>
    <row r="81" ht="15.75" customHeight="1">
      <c r="A81" s="17"/>
      <c r="B81" s="237">
        <v>16.0</v>
      </c>
      <c r="C81" s="229" t="str">
        <f>IF('INPUT DATA'!Q26="","",'INPUT DATA'!Q26)</f>
        <v/>
      </c>
      <c r="D81" s="205"/>
      <c r="E81" s="205"/>
      <c r="F81" s="340" t="str">
        <f t="array" ref="F81">IF(TRIM(C81)="","",IFERROR(_xlfn.XLOOKUP(TRIM(C81),'TERM 1 SUMMARY'!$C$66:$C$115,'TERM 1 SUMMARY'!$T$66:$T$115),""))</f>
        <v/>
      </c>
      <c r="G81" s="205"/>
      <c r="H81" s="205"/>
      <c r="I81" s="205"/>
      <c r="J81" s="239" t="str">
        <f t="array" ref="J81">IF(TRIM(C81)="","",IFERROR(_xlfn.XLOOKUP(TRIM(C81),'TERM 2 SUMMARY A'!$C$15:$C$115,'TERM 2 SUMMARY A'!$T$15:T$115),""))</f>
        <v/>
      </c>
      <c r="K81" s="172"/>
      <c r="L81" s="163"/>
      <c r="M81" s="239" t="str">
        <f t="array" ref="M81">IF(TRIM(C81)="","",IFERROR(_xlfn.XLOOKUP(TRIM(C81),'TERM 3 SUMMARY B'!$C$15:$C$115,'TERM 3 SUMMARY B'!$T$15:$T$115),""))</f>
        <v/>
      </c>
      <c r="N81" s="172"/>
      <c r="O81" s="163"/>
      <c r="P81" s="342" t="str">
        <f t="shared" si="3"/>
        <v/>
      </c>
      <c r="Q81" s="205"/>
      <c r="R81" s="205"/>
      <c r="S81" s="343" t="str">
        <f t="shared" si="4"/>
        <v/>
      </c>
      <c r="T81" s="206"/>
      <c r="U81" s="17"/>
      <c r="V81" s="17"/>
      <c r="W81" s="17"/>
      <c r="X81" s="17"/>
      <c r="Y81" s="17"/>
      <c r="Z81" s="17"/>
      <c r="AA81" s="17"/>
      <c r="AB81" s="17"/>
      <c r="AC81" s="17"/>
    </row>
    <row r="82" ht="15.75" customHeight="1">
      <c r="A82" s="17"/>
      <c r="B82" s="237">
        <v>17.0</v>
      </c>
      <c r="C82" s="229" t="str">
        <f>IF('INPUT DATA'!Q27="","",'INPUT DATA'!Q27)</f>
        <v/>
      </c>
      <c r="D82" s="205"/>
      <c r="E82" s="205"/>
      <c r="F82" s="340" t="str">
        <f t="array" ref="F82">IF(TRIM(C82)="","",IFERROR(_xlfn.XLOOKUP(TRIM(C82),'TERM 1 SUMMARY'!$C$66:$C$115,'TERM 1 SUMMARY'!$T$66:$T$115),""))</f>
        <v/>
      </c>
      <c r="G82" s="205"/>
      <c r="H82" s="205"/>
      <c r="I82" s="205"/>
      <c r="J82" s="239" t="str">
        <f t="array" ref="J82">IF(TRIM(C82)="","",IFERROR(_xlfn.XLOOKUP(TRIM(C82),'TERM 2 SUMMARY A'!$C$15:$C$115,'TERM 2 SUMMARY A'!$T$15:T$115),""))</f>
        <v/>
      </c>
      <c r="K82" s="172"/>
      <c r="L82" s="163"/>
      <c r="M82" s="239" t="str">
        <f t="array" ref="M82">IF(TRIM(C82)="","",IFERROR(_xlfn.XLOOKUP(TRIM(C82),'TERM 3 SUMMARY B'!$C$15:$C$115,'TERM 3 SUMMARY B'!$T$15:$T$115),""))</f>
        <v/>
      </c>
      <c r="N82" s="172"/>
      <c r="O82" s="163"/>
      <c r="P82" s="342" t="str">
        <f t="shared" si="3"/>
        <v/>
      </c>
      <c r="Q82" s="205"/>
      <c r="R82" s="205"/>
      <c r="S82" s="343" t="str">
        <f t="shared" si="4"/>
        <v/>
      </c>
      <c r="T82" s="206"/>
      <c r="U82" s="17"/>
      <c r="V82" s="17"/>
      <c r="W82" s="17"/>
      <c r="X82" s="17"/>
      <c r="Y82" s="17"/>
      <c r="Z82" s="17"/>
      <c r="AA82" s="17"/>
      <c r="AB82" s="17"/>
      <c r="AC82" s="17"/>
    </row>
    <row r="83" ht="15.75" customHeight="1">
      <c r="A83" s="17"/>
      <c r="B83" s="237">
        <v>18.0</v>
      </c>
      <c r="C83" s="229" t="str">
        <f>IF('INPUT DATA'!Q28="","",'INPUT DATA'!Q28)</f>
        <v/>
      </c>
      <c r="D83" s="205"/>
      <c r="E83" s="205"/>
      <c r="F83" s="340" t="str">
        <f t="array" ref="F83">IF(TRIM(C83)="","",IFERROR(_xlfn.XLOOKUP(TRIM(C83),'TERM 1 SUMMARY'!$C$66:$C$115,'TERM 1 SUMMARY'!$T$66:$T$115),""))</f>
        <v/>
      </c>
      <c r="G83" s="205"/>
      <c r="H83" s="205"/>
      <c r="I83" s="205"/>
      <c r="J83" s="239" t="str">
        <f t="array" ref="J83">IF(TRIM(C83)="","",IFERROR(_xlfn.XLOOKUP(TRIM(C83),'TERM 2 SUMMARY A'!$C$15:$C$115,'TERM 2 SUMMARY A'!$T$15:T$115),""))</f>
        <v/>
      </c>
      <c r="K83" s="172"/>
      <c r="L83" s="163"/>
      <c r="M83" s="239" t="str">
        <f t="array" ref="M83">IF(TRIM(C83)="","",IFERROR(_xlfn.XLOOKUP(TRIM(C83),'TERM 3 SUMMARY B'!$C$15:$C$115,'TERM 3 SUMMARY B'!$T$15:$T$115),""))</f>
        <v/>
      </c>
      <c r="N83" s="172"/>
      <c r="O83" s="163"/>
      <c r="P83" s="342" t="str">
        <f t="shared" si="3"/>
        <v/>
      </c>
      <c r="Q83" s="205"/>
      <c r="R83" s="205"/>
      <c r="S83" s="343" t="str">
        <f t="shared" si="4"/>
        <v/>
      </c>
      <c r="T83" s="206"/>
      <c r="U83" s="17"/>
      <c r="V83" s="17"/>
      <c r="W83" s="17"/>
      <c r="X83" s="17"/>
      <c r="Y83" s="17"/>
      <c r="Z83" s="17"/>
      <c r="AA83" s="17"/>
      <c r="AB83" s="17"/>
      <c r="AC83" s="17"/>
    </row>
    <row r="84" ht="15.75" customHeight="1">
      <c r="A84" s="17"/>
      <c r="B84" s="237">
        <v>19.0</v>
      </c>
      <c r="C84" s="229" t="str">
        <f>IF('INPUT DATA'!Q29="","",'INPUT DATA'!Q29)</f>
        <v/>
      </c>
      <c r="D84" s="205"/>
      <c r="E84" s="205"/>
      <c r="F84" s="340" t="str">
        <f t="array" ref="F84">IF(TRIM(C84)="","",IFERROR(_xlfn.XLOOKUP(TRIM(C84),'TERM 1 SUMMARY'!$C$66:$C$115,'TERM 1 SUMMARY'!$T$66:$T$115),""))</f>
        <v/>
      </c>
      <c r="G84" s="205"/>
      <c r="H84" s="205"/>
      <c r="I84" s="205"/>
      <c r="J84" s="239" t="str">
        <f t="array" ref="J84">IF(TRIM(C84)="","",IFERROR(_xlfn.XLOOKUP(TRIM(C84),'TERM 2 SUMMARY A'!$C$15:$C$115,'TERM 2 SUMMARY A'!$T$15:T$115),""))</f>
        <v/>
      </c>
      <c r="K84" s="172"/>
      <c r="L84" s="163"/>
      <c r="M84" s="239" t="str">
        <f t="array" ref="M84">IF(TRIM(C84)="","",IFERROR(_xlfn.XLOOKUP(TRIM(C84),'TERM 3 SUMMARY B'!$C$15:$C$115,'TERM 3 SUMMARY B'!$T$15:$T$115),""))</f>
        <v/>
      </c>
      <c r="N84" s="172"/>
      <c r="O84" s="163"/>
      <c r="P84" s="342" t="str">
        <f t="shared" si="3"/>
        <v/>
      </c>
      <c r="Q84" s="205"/>
      <c r="R84" s="205"/>
      <c r="S84" s="343" t="str">
        <f t="shared" si="4"/>
        <v/>
      </c>
      <c r="T84" s="206"/>
      <c r="U84" s="17"/>
      <c r="V84" s="17"/>
      <c r="W84" s="17"/>
      <c r="X84" s="17"/>
      <c r="Y84" s="17"/>
      <c r="Z84" s="17"/>
      <c r="AA84" s="17"/>
      <c r="AB84" s="17"/>
      <c r="AC84" s="17"/>
    </row>
    <row r="85" ht="15.75" customHeight="1">
      <c r="A85" s="17"/>
      <c r="B85" s="333">
        <v>20.0</v>
      </c>
      <c r="C85" s="229" t="str">
        <f>IF('INPUT DATA'!Q30="","",'INPUT DATA'!Q30)</f>
        <v/>
      </c>
      <c r="D85" s="205"/>
      <c r="E85" s="205"/>
      <c r="F85" s="340" t="str">
        <f t="array" ref="F85">IF(TRIM(C85)="","",IFERROR(_xlfn.XLOOKUP(TRIM(C85),'TERM 1 SUMMARY'!$C$66:$C$115,'TERM 1 SUMMARY'!$T$66:$T$115),""))</f>
        <v/>
      </c>
      <c r="G85" s="205"/>
      <c r="H85" s="205"/>
      <c r="I85" s="205"/>
      <c r="J85" s="239" t="str">
        <f t="array" ref="J85">IF(TRIM(C85)="","",IFERROR(_xlfn.XLOOKUP(TRIM(C85),'TERM 2 SUMMARY A'!$C$15:$C$115,'TERM 2 SUMMARY A'!$T$15:T$115),""))</f>
        <v/>
      </c>
      <c r="K85" s="172"/>
      <c r="L85" s="163"/>
      <c r="M85" s="239" t="str">
        <f t="array" ref="M85">IF(TRIM(C85)="","",IFERROR(_xlfn.XLOOKUP(TRIM(C85),'TERM 3 SUMMARY B'!$C$15:$C$115,'TERM 3 SUMMARY B'!$T$15:$T$115),""))</f>
        <v/>
      </c>
      <c r="N85" s="172"/>
      <c r="O85" s="163"/>
      <c r="P85" s="342" t="str">
        <f t="shared" si="3"/>
        <v/>
      </c>
      <c r="Q85" s="205"/>
      <c r="R85" s="205"/>
      <c r="S85" s="343" t="str">
        <f t="shared" si="4"/>
        <v/>
      </c>
      <c r="T85" s="206"/>
      <c r="U85" s="17"/>
      <c r="V85" s="17"/>
      <c r="W85" s="17"/>
      <c r="X85" s="17"/>
      <c r="Y85" s="17"/>
      <c r="Z85" s="17"/>
      <c r="AA85" s="17"/>
      <c r="AB85" s="17"/>
      <c r="AC85" s="17"/>
    </row>
    <row r="86" ht="15.75" customHeight="1">
      <c r="A86" s="17"/>
      <c r="B86" s="333">
        <v>21.0</v>
      </c>
      <c r="C86" s="229" t="str">
        <f>IF('INPUT DATA'!Q31="","",'INPUT DATA'!Q31)</f>
        <v/>
      </c>
      <c r="D86" s="205"/>
      <c r="E86" s="205"/>
      <c r="F86" s="340" t="str">
        <f t="array" ref="F86">IF(TRIM(C86)="","",IFERROR(_xlfn.XLOOKUP(TRIM(C86),'TERM 1 SUMMARY'!$C$66:$C$115,'TERM 1 SUMMARY'!$T$66:$T$115),""))</f>
        <v/>
      </c>
      <c r="G86" s="205"/>
      <c r="H86" s="205"/>
      <c r="I86" s="205"/>
      <c r="J86" s="239" t="str">
        <f t="array" ref="J86">IF(TRIM(C86)="","",IFERROR(_xlfn.XLOOKUP(TRIM(C86),'TERM 2 SUMMARY A'!$C$15:$C$115,'TERM 2 SUMMARY A'!$T$15:T$115),""))</f>
        <v/>
      </c>
      <c r="K86" s="172"/>
      <c r="L86" s="163"/>
      <c r="M86" s="239" t="str">
        <f t="array" ref="M86">IF(TRIM(C86)="","",IFERROR(_xlfn.XLOOKUP(TRIM(C86),'TERM 3 SUMMARY B'!$C$15:$C$115,'TERM 3 SUMMARY B'!$T$15:$T$115),""))</f>
        <v/>
      </c>
      <c r="N86" s="172"/>
      <c r="O86" s="163"/>
      <c r="P86" s="342" t="str">
        <f t="shared" si="3"/>
        <v/>
      </c>
      <c r="Q86" s="205"/>
      <c r="R86" s="205"/>
      <c r="S86" s="343" t="str">
        <f t="shared" si="4"/>
        <v/>
      </c>
      <c r="T86" s="206"/>
      <c r="U86" s="17"/>
      <c r="V86" s="17"/>
      <c r="W86" s="17"/>
      <c r="X86" s="17"/>
      <c r="Y86" s="17"/>
      <c r="Z86" s="17"/>
      <c r="AA86" s="17"/>
      <c r="AB86" s="17"/>
      <c r="AC86" s="17"/>
    </row>
    <row r="87" ht="15.75" customHeight="1">
      <c r="A87" s="17"/>
      <c r="B87" s="333">
        <v>22.0</v>
      </c>
      <c r="C87" s="229" t="str">
        <f>IF('INPUT DATA'!Q32="","",'INPUT DATA'!Q32)</f>
        <v/>
      </c>
      <c r="D87" s="205"/>
      <c r="E87" s="205"/>
      <c r="F87" s="340" t="str">
        <f t="array" ref="F87">IF(TRIM(C87)="","",IFERROR(_xlfn.XLOOKUP(TRIM(C87),'TERM 1 SUMMARY'!$C$66:$C$115,'TERM 1 SUMMARY'!$T$66:$T$115),""))</f>
        <v/>
      </c>
      <c r="G87" s="205"/>
      <c r="H87" s="205"/>
      <c r="I87" s="205"/>
      <c r="J87" s="239" t="str">
        <f t="array" ref="J87">IF(TRIM(C87)="","",IFERROR(_xlfn.XLOOKUP(TRIM(C87),'TERM 2 SUMMARY A'!$C$15:$C$115,'TERM 2 SUMMARY A'!$T$15:T$115),""))</f>
        <v/>
      </c>
      <c r="K87" s="172"/>
      <c r="L87" s="163"/>
      <c r="M87" s="239" t="str">
        <f t="array" ref="M87">IF(TRIM(C87)="","",IFERROR(_xlfn.XLOOKUP(TRIM(C87),'TERM 3 SUMMARY B'!$C$15:$C$115,'TERM 3 SUMMARY B'!$T$15:$T$115),""))</f>
        <v/>
      </c>
      <c r="N87" s="172"/>
      <c r="O87" s="163"/>
      <c r="P87" s="342" t="str">
        <f t="shared" si="3"/>
        <v/>
      </c>
      <c r="Q87" s="205"/>
      <c r="R87" s="205"/>
      <c r="S87" s="343" t="str">
        <f t="shared" si="4"/>
        <v/>
      </c>
      <c r="T87" s="206"/>
      <c r="U87" s="17"/>
      <c r="V87" s="17"/>
      <c r="W87" s="17"/>
      <c r="X87" s="17"/>
      <c r="Y87" s="17"/>
      <c r="Z87" s="17"/>
      <c r="AA87" s="17"/>
      <c r="AB87" s="17"/>
      <c r="AC87" s="17"/>
    </row>
    <row r="88" ht="15.75" customHeight="1">
      <c r="A88" s="17"/>
      <c r="B88" s="333">
        <v>23.0</v>
      </c>
      <c r="C88" s="229" t="str">
        <f>IF('INPUT DATA'!Q33="","",'INPUT DATA'!Q33)</f>
        <v/>
      </c>
      <c r="D88" s="205"/>
      <c r="E88" s="205"/>
      <c r="F88" s="340" t="str">
        <f t="array" ref="F88">IF(TRIM(C88)="","",IFERROR(_xlfn.XLOOKUP(TRIM(C88),'TERM 1 SUMMARY'!$C$66:$C$115,'TERM 1 SUMMARY'!$T$66:$T$115),""))</f>
        <v/>
      </c>
      <c r="G88" s="205"/>
      <c r="H88" s="205"/>
      <c r="I88" s="205"/>
      <c r="J88" s="239" t="str">
        <f t="array" ref="J88">IF(TRIM(C88)="","",IFERROR(_xlfn.XLOOKUP(TRIM(C88),'TERM 2 SUMMARY A'!$C$15:$C$115,'TERM 2 SUMMARY A'!$T$15:T$115),""))</f>
        <v/>
      </c>
      <c r="K88" s="172"/>
      <c r="L88" s="163"/>
      <c r="M88" s="239" t="str">
        <f t="array" ref="M88">IF(TRIM(C88)="","",IFERROR(_xlfn.XLOOKUP(TRIM(C88),'TERM 3 SUMMARY B'!$C$15:$C$115,'TERM 3 SUMMARY B'!$T$15:$T$115),""))</f>
        <v/>
      </c>
      <c r="N88" s="172"/>
      <c r="O88" s="163"/>
      <c r="P88" s="342" t="str">
        <f t="shared" si="3"/>
        <v/>
      </c>
      <c r="Q88" s="205"/>
      <c r="R88" s="205"/>
      <c r="S88" s="343" t="str">
        <f t="shared" si="4"/>
        <v/>
      </c>
      <c r="T88" s="206"/>
      <c r="U88" s="17"/>
      <c r="V88" s="17"/>
      <c r="W88" s="17"/>
      <c r="X88" s="17"/>
      <c r="Y88" s="17"/>
      <c r="Z88" s="17"/>
      <c r="AA88" s="17"/>
      <c r="AB88" s="17"/>
      <c r="AC88" s="17"/>
    </row>
    <row r="89" ht="15.75" customHeight="1">
      <c r="A89" s="17"/>
      <c r="B89" s="333">
        <v>24.0</v>
      </c>
      <c r="C89" s="229" t="str">
        <f>IF('INPUT DATA'!Q34="","",'INPUT DATA'!Q34)</f>
        <v/>
      </c>
      <c r="D89" s="205"/>
      <c r="E89" s="205"/>
      <c r="F89" s="340" t="str">
        <f t="array" ref="F89">IF(TRIM(C89)="","",IFERROR(_xlfn.XLOOKUP(TRIM(C89),'TERM 1 SUMMARY'!$C$66:$C$115,'TERM 1 SUMMARY'!$T$66:$T$115),""))</f>
        <v/>
      </c>
      <c r="G89" s="205"/>
      <c r="H89" s="205"/>
      <c r="I89" s="205"/>
      <c r="J89" s="239" t="str">
        <f t="array" ref="J89">IF(TRIM(C89)="","",IFERROR(_xlfn.XLOOKUP(TRIM(C89),'TERM 2 SUMMARY A'!$C$15:$C$115,'TERM 2 SUMMARY A'!$T$15:T$115),""))</f>
        <v/>
      </c>
      <c r="K89" s="172"/>
      <c r="L89" s="163"/>
      <c r="M89" s="239" t="str">
        <f t="array" ref="M89">IF(TRIM(C89)="","",IFERROR(_xlfn.XLOOKUP(TRIM(C89),'TERM 3 SUMMARY B'!$C$15:$C$115,'TERM 3 SUMMARY B'!$T$15:$T$115),""))</f>
        <v/>
      </c>
      <c r="N89" s="172"/>
      <c r="O89" s="163"/>
      <c r="P89" s="342" t="str">
        <f t="shared" si="3"/>
        <v/>
      </c>
      <c r="Q89" s="205"/>
      <c r="R89" s="205"/>
      <c r="S89" s="343" t="str">
        <f t="shared" si="4"/>
        <v/>
      </c>
      <c r="T89" s="206"/>
      <c r="U89" s="17"/>
      <c r="V89" s="17"/>
      <c r="W89" s="17"/>
      <c r="X89" s="17"/>
      <c r="Y89" s="17"/>
      <c r="Z89" s="17"/>
      <c r="AA89" s="17"/>
      <c r="AB89" s="17"/>
      <c r="AC89" s="17"/>
    </row>
    <row r="90" ht="15.75" customHeight="1">
      <c r="A90" s="17"/>
      <c r="B90" s="333">
        <v>25.0</v>
      </c>
      <c r="C90" s="229" t="str">
        <f>IF('INPUT DATA'!Q35="","",'INPUT DATA'!Q35)</f>
        <v/>
      </c>
      <c r="D90" s="205"/>
      <c r="E90" s="205"/>
      <c r="F90" s="340" t="str">
        <f t="array" ref="F90">IF(TRIM(C90)="","",IFERROR(_xlfn.XLOOKUP(TRIM(C90),'TERM 1 SUMMARY'!$C$66:$C$115,'TERM 1 SUMMARY'!$T$66:$T$115),""))</f>
        <v/>
      </c>
      <c r="G90" s="205"/>
      <c r="H90" s="205"/>
      <c r="I90" s="205"/>
      <c r="J90" s="239" t="str">
        <f t="array" ref="J90">IF(TRIM(C90)="","",IFERROR(_xlfn.XLOOKUP(TRIM(C90),'TERM 2 SUMMARY A'!$C$15:$C$115,'TERM 2 SUMMARY A'!$T$15:T$115),""))</f>
        <v/>
      </c>
      <c r="K90" s="172"/>
      <c r="L90" s="163"/>
      <c r="M90" s="239" t="str">
        <f t="array" ref="M90">IF(TRIM(C90)="","",IFERROR(_xlfn.XLOOKUP(TRIM(C90),'TERM 3 SUMMARY B'!$C$15:$C$115,'TERM 3 SUMMARY B'!$T$15:$T$115),""))</f>
        <v/>
      </c>
      <c r="N90" s="172"/>
      <c r="O90" s="163"/>
      <c r="P90" s="342" t="str">
        <f t="shared" si="3"/>
        <v/>
      </c>
      <c r="Q90" s="205"/>
      <c r="R90" s="205"/>
      <c r="S90" s="343" t="str">
        <f t="shared" si="4"/>
        <v/>
      </c>
      <c r="T90" s="206"/>
      <c r="U90" s="17"/>
      <c r="V90" s="17"/>
      <c r="W90" s="17"/>
      <c r="X90" s="17"/>
      <c r="Y90" s="17"/>
      <c r="Z90" s="17"/>
      <c r="AA90" s="17"/>
      <c r="AB90" s="17"/>
      <c r="AC90" s="17"/>
    </row>
    <row r="91" ht="15.75" customHeight="1">
      <c r="A91" s="17"/>
      <c r="B91" s="333">
        <v>26.0</v>
      </c>
      <c r="C91" s="229" t="str">
        <f>IF('INPUT DATA'!Q36="","",'INPUT DATA'!Q36)</f>
        <v/>
      </c>
      <c r="D91" s="205"/>
      <c r="E91" s="205"/>
      <c r="F91" s="340" t="str">
        <f t="array" ref="F91">IF(TRIM(C91)="","",IFERROR(_xlfn.XLOOKUP(TRIM(C91),'TERM 1 SUMMARY'!$C$66:$C$115,'TERM 1 SUMMARY'!$T$66:$T$115),""))</f>
        <v/>
      </c>
      <c r="G91" s="205"/>
      <c r="H91" s="205"/>
      <c r="I91" s="205"/>
      <c r="J91" s="239" t="str">
        <f t="array" ref="J91">IF(TRIM(C91)="","",IFERROR(_xlfn.XLOOKUP(TRIM(C91),'TERM 2 SUMMARY A'!$C$15:$C$115,'TERM 2 SUMMARY A'!$T$15:T$115),""))</f>
        <v/>
      </c>
      <c r="K91" s="172"/>
      <c r="L91" s="163"/>
      <c r="M91" s="239" t="str">
        <f t="array" ref="M91">IF(TRIM(C91)="","",IFERROR(_xlfn.XLOOKUP(TRIM(C91),'TERM 3 SUMMARY B'!$C$15:$C$115,'TERM 3 SUMMARY B'!$T$15:$T$115),""))</f>
        <v/>
      </c>
      <c r="N91" s="172"/>
      <c r="O91" s="163"/>
      <c r="P91" s="342" t="str">
        <f t="shared" si="3"/>
        <v/>
      </c>
      <c r="Q91" s="205"/>
      <c r="R91" s="205"/>
      <c r="S91" s="343" t="str">
        <f t="shared" si="4"/>
        <v/>
      </c>
      <c r="T91" s="206"/>
      <c r="U91" s="17"/>
      <c r="V91" s="17"/>
      <c r="W91" s="17"/>
      <c r="X91" s="17"/>
      <c r="Y91" s="17"/>
      <c r="Z91" s="17"/>
      <c r="AA91" s="17"/>
      <c r="AB91" s="17"/>
      <c r="AC91" s="17"/>
    </row>
    <row r="92" ht="15.75" customHeight="1">
      <c r="A92" s="17"/>
      <c r="B92" s="333">
        <v>27.0</v>
      </c>
      <c r="C92" s="229" t="str">
        <f>IF('INPUT DATA'!Q37="","",'INPUT DATA'!Q37)</f>
        <v/>
      </c>
      <c r="D92" s="205"/>
      <c r="E92" s="205"/>
      <c r="F92" s="340" t="str">
        <f t="array" ref="F92">IF(TRIM(C92)="","",IFERROR(_xlfn.XLOOKUP(TRIM(C92),'TERM 1 SUMMARY'!$C$66:$C$115,'TERM 1 SUMMARY'!$T$66:$T$115),""))</f>
        <v/>
      </c>
      <c r="G92" s="205"/>
      <c r="H92" s="205"/>
      <c r="I92" s="205"/>
      <c r="J92" s="239" t="str">
        <f t="array" ref="J92">IF(TRIM(C92)="","",IFERROR(_xlfn.XLOOKUP(TRIM(C92),'TERM 2 SUMMARY A'!$C$15:$C$115,'TERM 2 SUMMARY A'!$T$15:T$115),""))</f>
        <v/>
      </c>
      <c r="K92" s="172"/>
      <c r="L92" s="163"/>
      <c r="M92" s="239" t="str">
        <f t="array" ref="M92">IF(TRIM(C92)="","",IFERROR(_xlfn.XLOOKUP(TRIM(C92),'TERM 3 SUMMARY B'!$C$15:$C$115,'TERM 3 SUMMARY B'!$T$15:$T$115),""))</f>
        <v/>
      </c>
      <c r="N92" s="172"/>
      <c r="O92" s="163"/>
      <c r="P92" s="342" t="str">
        <f t="shared" si="3"/>
        <v/>
      </c>
      <c r="Q92" s="205"/>
      <c r="R92" s="205"/>
      <c r="S92" s="343" t="str">
        <f t="shared" si="4"/>
        <v/>
      </c>
      <c r="T92" s="206"/>
      <c r="U92" s="17"/>
      <c r="V92" s="17"/>
      <c r="W92" s="17"/>
      <c r="X92" s="17"/>
      <c r="Y92" s="17"/>
      <c r="Z92" s="17"/>
      <c r="AA92" s="17"/>
      <c r="AB92" s="17"/>
      <c r="AC92" s="17"/>
    </row>
    <row r="93" ht="15.75" customHeight="1">
      <c r="A93" s="17"/>
      <c r="B93" s="333">
        <v>28.0</v>
      </c>
      <c r="C93" s="229" t="str">
        <f>IF('INPUT DATA'!Q38="","",'INPUT DATA'!Q38)</f>
        <v/>
      </c>
      <c r="D93" s="205"/>
      <c r="E93" s="205"/>
      <c r="F93" s="340" t="str">
        <f t="array" ref="F93">IF(TRIM(C93)="","",IFERROR(_xlfn.XLOOKUP(TRIM(C93),'TERM 1 SUMMARY'!$C$66:$C$115,'TERM 1 SUMMARY'!$T$66:$T$115),""))</f>
        <v/>
      </c>
      <c r="G93" s="205"/>
      <c r="H93" s="205"/>
      <c r="I93" s="205"/>
      <c r="J93" s="239" t="str">
        <f t="array" ref="J93">IF(TRIM(C93)="","",IFERROR(_xlfn.XLOOKUP(TRIM(C93),'TERM 2 SUMMARY A'!$C$15:$C$115,'TERM 2 SUMMARY A'!$T$15:T$115),""))</f>
        <v/>
      </c>
      <c r="K93" s="172"/>
      <c r="L93" s="163"/>
      <c r="M93" s="239" t="str">
        <f t="array" ref="M93">IF(TRIM(C93)="","",IFERROR(_xlfn.XLOOKUP(TRIM(C93),'TERM 3 SUMMARY B'!$C$15:$C$115,'TERM 3 SUMMARY B'!$T$15:$T$115),""))</f>
        <v/>
      </c>
      <c r="N93" s="172"/>
      <c r="O93" s="163"/>
      <c r="P93" s="342" t="str">
        <f t="shared" si="3"/>
        <v/>
      </c>
      <c r="Q93" s="205"/>
      <c r="R93" s="205"/>
      <c r="S93" s="343" t="str">
        <f t="shared" si="4"/>
        <v/>
      </c>
      <c r="T93" s="206"/>
      <c r="U93" s="17"/>
      <c r="V93" s="17"/>
      <c r="W93" s="17"/>
      <c r="X93" s="17"/>
      <c r="Y93" s="17"/>
      <c r="Z93" s="17"/>
      <c r="AA93" s="17"/>
      <c r="AB93" s="17"/>
      <c r="AC93" s="17"/>
    </row>
    <row r="94" ht="15.75" customHeight="1">
      <c r="A94" s="17"/>
      <c r="B94" s="333">
        <v>29.0</v>
      </c>
      <c r="C94" s="229" t="str">
        <f>IF('INPUT DATA'!Q39="","",'INPUT DATA'!Q39)</f>
        <v/>
      </c>
      <c r="D94" s="205"/>
      <c r="E94" s="205"/>
      <c r="F94" s="340" t="str">
        <f t="array" ref="F94">IF(TRIM(C94)="","",IFERROR(_xlfn.XLOOKUP(TRIM(C94),'TERM 1 SUMMARY'!$C$66:$C$115,'TERM 1 SUMMARY'!$T$66:$T$115),""))</f>
        <v/>
      </c>
      <c r="G94" s="205"/>
      <c r="H94" s="205"/>
      <c r="I94" s="205"/>
      <c r="J94" s="239" t="str">
        <f t="array" ref="J94">IF(TRIM(C94)="","",IFERROR(_xlfn.XLOOKUP(TRIM(C94),'TERM 2 SUMMARY A'!$C$15:$C$115,'TERM 2 SUMMARY A'!$T$15:T$115),""))</f>
        <v/>
      </c>
      <c r="K94" s="172"/>
      <c r="L94" s="163"/>
      <c r="M94" s="239" t="str">
        <f t="array" ref="M94">IF(TRIM(C94)="","",IFERROR(_xlfn.XLOOKUP(TRIM(C94),'TERM 3 SUMMARY B'!$C$15:$C$115,'TERM 3 SUMMARY B'!$T$15:$T$115),""))</f>
        <v/>
      </c>
      <c r="N94" s="172"/>
      <c r="O94" s="163"/>
      <c r="P94" s="342" t="str">
        <f t="shared" si="3"/>
        <v/>
      </c>
      <c r="Q94" s="205"/>
      <c r="R94" s="205"/>
      <c r="S94" s="343" t="str">
        <f t="shared" si="4"/>
        <v/>
      </c>
      <c r="T94" s="206"/>
      <c r="U94" s="17"/>
      <c r="V94" s="17"/>
      <c r="W94" s="17"/>
      <c r="X94" s="17"/>
      <c r="Y94" s="17"/>
      <c r="Z94" s="17"/>
      <c r="AA94" s="17"/>
      <c r="AB94" s="17"/>
      <c r="AC94" s="17"/>
    </row>
    <row r="95" ht="15.75" customHeight="1">
      <c r="A95" s="17"/>
      <c r="B95" s="333">
        <v>30.0</v>
      </c>
      <c r="C95" s="229" t="str">
        <f>IF('INPUT DATA'!Q40="","",'INPUT DATA'!Q40)</f>
        <v/>
      </c>
      <c r="D95" s="205"/>
      <c r="E95" s="205"/>
      <c r="F95" s="340" t="str">
        <f t="array" ref="F95">IF(TRIM(C95)="","",IFERROR(_xlfn.XLOOKUP(TRIM(C95),'TERM 1 SUMMARY'!$C$66:$C$115,'TERM 1 SUMMARY'!$T$66:$T$115),""))</f>
        <v/>
      </c>
      <c r="G95" s="205"/>
      <c r="H95" s="205"/>
      <c r="I95" s="205"/>
      <c r="J95" s="239" t="str">
        <f t="array" ref="J95">IF(TRIM(C95)="","",IFERROR(_xlfn.XLOOKUP(TRIM(C95),'TERM 2 SUMMARY A'!$C$15:$C$115,'TERM 2 SUMMARY A'!$T$15:T$115),""))</f>
        <v/>
      </c>
      <c r="K95" s="172"/>
      <c r="L95" s="163"/>
      <c r="M95" s="239" t="str">
        <f t="array" ref="M95">IF(TRIM(C95)="","",IFERROR(_xlfn.XLOOKUP(TRIM(C95),'TERM 3 SUMMARY B'!$C$15:$C$115,'TERM 3 SUMMARY B'!$T$15:$T$115),""))</f>
        <v/>
      </c>
      <c r="N95" s="172"/>
      <c r="O95" s="163"/>
      <c r="P95" s="342" t="str">
        <f t="shared" si="3"/>
        <v/>
      </c>
      <c r="Q95" s="205"/>
      <c r="R95" s="205"/>
      <c r="S95" s="343" t="str">
        <f t="shared" si="4"/>
        <v/>
      </c>
      <c r="T95" s="206"/>
      <c r="U95" s="17"/>
      <c r="V95" s="17"/>
      <c r="W95" s="17"/>
      <c r="X95" s="17"/>
      <c r="Y95" s="17"/>
      <c r="Z95" s="17"/>
      <c r="AA95" s="17"/>
      <c r="AB95" s="17"/>
      <c r="AC95" s="17"/>
    </row>
    <row r="96" ht="15.75" customHeight="1">
      <c r="A96" s="17"/>
      <c r="B96" s="333">
        <v>31.0</v>
      </c>
      <c r="C96" s="229" t="str">
        <f>IF('INPUT DATA'!Q41="","",'INPUT DATA'!Q41)</f>
        <v/>
      </c>
      <c r="D96" s="205"/>
      <c r="E96" s="205"/>
      <c r="F96" s="340" t="str">
        <f t="array" ref="F96">IF(TRIM(C96)="","",IFERROR(_xlfn.XLOOKUP(TRIM(C96),'TERM 1 SUMMARY'!$C$66:$C$115,'TERM 1 SUMMARY'!$T$66:$T$115),""))</f>
        <v/>
      </c>
      <c r="G96" s="205"/>
      <c r="H96" s="205"/>
      <c r="I96" s="205"/>
      <c r="J96" s="239" t="str">
        <f t="array" ref="J96">IF(TRIM(C96)="","",IFERROR(_xlfn.XLOOKUP(TRIM(C96),'TERM 2 SUMMARY A'!$C$15:$C$115,'TERM 2 SUMMARY A'!$T$15:T$115),""))</f>
        <v/>
      </c>
      <c r="K96" s="172"/>
      <c r="L96" s="163"/>
      <c r="M96" s="239" t="str">
        <f t="array" ref="M96">IF(TRIM(C96)="","",IFERROR(_xlfn.XLOOKUP(TRIM(C96),'TERM 3 SUMMARY B'!$C$15:$C$115,'TERM 3 SUMMARY B'!$T$15:$T$115),""))</f>
        <v/>
      </c>
      <c r="N96" s="172"/>
      <c r="O96" s="163"/>
      <c r="P96" s="342" t="str">
        <f t="shared" si="3"/>
        <v/>
      </c>
      <c r="Q96" s="205"/>
      <c r="R96" s="205"/>
      <c r="S96" s="343" t="str">
        <f t="shared" si="4"/>
        <v/>
      </c>
      <c r="T96" s="206"/>
      <c r="U96" s="17"/>
      <c r="V96" s="17"/>
      <c r="W96" s="17"/>
      <c r="X96" s="17"/>
      <c r="Y96" s="17"/>
      <c r="Z96" s="17"/>
      <c r="AA96" s="17"/>
      <c r="AB96" s="17"/>
      <c r="AC96" s="17"/>
    </row>
    <row r="97" ht="15.75" customHeight="1">
      <c r="A97" s="17"/>
      <c r="B97" s="333">
        <v>32.0</v>
      </c>
      <c r="C97" s="229" t="str">
        <f>IF('INPUT DATA'!Q42="","",'INPUT DATA'!Q42)</f>
        <v/>
      </c>
      <c r="D97" s="205"/>
      <c r="E97" s="205"/>
      <c r="F97" s="340" t="str">
        <f t="array" ref="F97">IF(TRIM(C97)="","",IFERROR(_xlfn.XLOOKUP(TRIM(C97),'TERM 1 SUMMARY'!$C$66:$C$115,'TERM 1 SUMMARY'!$T$66:$T$115),""))</f>
        <v/>
      </c>
      <c r="G97" s="205"/>
      <c r="H97" s="205"/>
      <c r="I97" s="205"/>
      <c r="J97" s="239" t="str">
        <f t="array" ref="J97">IF(TRIM(C97)="","",IFERROR(_xlfn.XLOOKUP(TRIM(C97),'TERM 2 SUMMARY A'!$C$15:$C$115,'TERM 2 SUMMARY A'!$T$15:T$115),""))</f>
        <v/>
      </c>
      <c r="K97" s="172"/>
      <c r="L97" s="163"/>
      <c r="M97" s="239" t="str">
        <f t="array" ref="M97">IF(TRIM(C97)="","",IFERROR(_xlfn.XLOOKUP(TRIM(C97),'TERM 3 SUMMARY B'!$C$15:$C$115,'TERM 3 SUMMARY B'!$T$15:$T$115),""))</f>
        <v/>
      </c>
      <c r="N97" s="172"/>
      <c r="O97" s="163"/>
      <c r="P97" s="342" t="str">
        <f t="shared" si="3"/>
        <v/>
      </c>
      <c r="Q97" s="205"/>
      <c r="R97" s="205"/>
      <c r="S97" s="343" t="str">
        <f t="shared" si="4"/>
        <v/>
      </c>
      <c r="T97" s="206"/>
      <c r="U97" s="17"/>
      <c r="V97" s="17"/>
      <c r="W97" s="17"/>
      <c r="X97" s="17"/>
      <c r="Y97" s="17"/>
      <c r="Z97" s="17"/>
      <c r="AA97" s="17"/>
      <c r="AB97" s="17"/>
      <c r="AC97" s="17"/>
    </row>
    <row r="98" ht="15.75" customHeight="1">
      <c r="A98" s="17"/>
      <c r="B98" s="333">
        <v>33.0</v>
      </c>
      <c r="C98" s="229" t="str">
        <f>IF('INPUT DATA'!Q43="","",'INPUT DATA'!Q43)</f>
        <v/>
      </c>
      <c r="D98" s="205"/>
      <c r="E98" s="205"/>
      <c r="F98" s="340" t="str">
        <f t="array" ref="F98">IF(TRIM(C98)="","",IFERROR(_xlfn.XLOOKUP(TRIM(C98),'TERM 1 SUMMARY'!$C$66:$C$115,'TERM 1 SUMMARY'!$T$66:$T$115),""))</f>
        <v/>
      </c>
      <c r="G98" s="205"/>
      <c r="H98" s="205"/>
      <c r="I98" s="205"/>
      <c r="J98" s="239" t="str">
        <f t="array" ref="J98">IF(TRIM(C98)="","",IFERROR(_xlfn.XLOOKUP(TRIM(C98),'TERM 2 SUMMARY A'!$C$15:$C$115,'TERM 2 SUMMARY A'!$T$15:T$115),""))</f>
        <v/>
      </c>
      <c r="K98" s="172"/>
      <c r="L98" s="163"/>
      <c r="M98" s="239" t="str">
        <f t="array" ref="M98">IF(TRIM(C98)="","",IFERROR(_xlfn.XLOOKUP(TRIM(C98),'TERM 3 SUMMARY B'!$C$15:$C$115,'TERM 3 SUMMARY B'!$T$15:$T$115),""))</f>
        <v/>
      </c>
      <c r="N98" s="172"/>
      <c r="O98" s="163"/>
      <c r="P98" s="342" t="str">
        <f t="shared" si="3"/>
        <v/>
      </c>
      <c r="Q98" s="205"/>
      <c r="R98" s="205"/>
      <c r="S98" s="343" t="str">
        <f t="shared" si="4"/>
        <v/>
      </c>
      <c r="T98" s="206"/>
      <c r="U98" s="17"/>
      <c r="V98" s="17"/>
      <c r="W98" s="17"/>
      <c r="X98" s="17"/>
      <c r="Y98" s="17"/>
      <c r="Z98" s="17"/>
      <c r="AA98" s="17"/>
      <c r="AB98" s="17"/>
      <c r="AC98" s="17"/>
    </row>
    <row r="99" ht="15.75" customHeight="1">
      <c r="A99" s="17"/>
      <c r="B99" s="333">
        <v>34.0</v>
      </c>
      <c r="C99" s="229" t="str">
        <f>IF('INPUT DATA'!Q44="","",'INPUT DATA'!Q44)</f>
        <v/>
      </c>
      <c r="D99" s="205"/>
      <c r="E99" s="205"/>
      <c r="F99" s="340" t="str">
        <f t="array" ref="F99">IF(TRIM(C99)="","",IFERROR(_xlfn.XLOOKUP(TRIM(C99),'TERM 1 SUMMARY'!$C$66:$C$115,'TERM 1 SUMMARY'!$T$66:$T$115),""))</f>
        <v/>
      </c>
      <c r="G99" s="205"/>
      <c r="H99" s="205"/>
      <c r="I99" s="205"/>
      <c r="J99" s="239" t="str">
        <f t="array" ref="J99">IF(TRIM(C99)="","",IFERROR(_xlfn.XLOOKUP(TRIM(C99),'TERM 2 SUMMARY A'!$C$15:$C$115,'TERM 2 SUMMARY A'!$T$15:T$115),""))</f>
        <v/>
      </c>
      <c r="K99" s="172"/>
      <c r="L99" s="163"/>
      <c r="M99" s="239" t="str">
        <f t="array" ref="M99">IF(TRIM(C99)="","",IFERROR(_xlfn.XLOOKUP(TRIM(C99),'TERM 3 SUMMARY B'!$C$15:$C$115,'TERM 3 SUMMARY B'!$T$15:$T$115),""))</f>
        <v/>
      </c>
      <c r="N99" s="172"/>
      <c r="O99" s="163"/>
      <c r="P99" s="342" t="str">
        <f t="shared" si="3"/>
        <v/>
      </c>
      <c r="Q99" s="205"/>
      <c r="R99" s="205"/>
      <c r="S99" s="343" t="str">
        <f t="shared" si="4"/>
        <v/>
      </c>
      <c r="T99" s="206"/>
      <c r="U99" s="17"/>
      <c r="V99" s="17"/>
      <c r="W99" s="17"/>
      <c r="X99" s="17"/>
      <c r="Y99" s="17"/>
      <c r="Z99" s="17"/>
      <c r="AA99" s="17"/>
      <c r="AB99" s="17"/>
      <c r="AC99" s="17"/>
    </row>
    <row r="100" ht="15.75" customHeight="1">
      <c r="A100" s="17"/>
      <c r="B100" s="333">
        <v>35.0</v>
      </c>
      <c r="C100" s="229" t="str">
        <f>IF('INPUT DATA'!Q45="","",'INPUT DATA'!Q45)</f>
        <v/>
      </c>
      <c r="D100" s="205"/>
      <c r="E100" s="205"/>
      <c r="F100" s="340" t="str">
        <f t="array" ref="F100">IF(TRIM(C100)="","",IFERROR(_xlfn.XLOOKUP(TRIM(C100),'TERM 1 SUMMARY'!$C$66:$C$115,'TERM 1 SUMMARY'!$T$66:$T$115),""))</f>
        <v/>
      </c>
      <c r="G100" s="205"/>
      <c r="H100" s="205"/>
      <c r="I100" s="205"/>
      <c r="J100" s="239" t="str">
        <f t="array" ref="J100">IF(TRIM(C100)="","",IFERROR(_xlfn.XLOOKUP(TRIM(C100),'TERM 2 SUMMARY A'!$C$15:$C$115,'TERM 2 SUMMARY A'!$T$15:T$115),""))</f>
        <v/>
      </c>
      <c r="K100" s="172"/>
      <c r="L100" s="163"/>
      <c r="M100" s="239" t="str">
        <f t="array" ref="M100">IF(TRIM(C100)="","",IFERROR(_xlfn.XLOOKUP(TRIM(C100),'TERM 3 SUMMARY B'!$C$15:$C$115,'TERM 3 SUMMARY B'!$T$15:$T$115),""))</f>
        <v/>
      </c>
      <c r="N100" s="172"/>
      <c r="O100" s="163"/>
      <c r="P100" s="342" t="str">
        <f t="shared" si="3"/>
        <v/>
      </c>
      <c r="Q100" s="205"/>
      <c r="R100" s="205"/>
      <c r="S100" s="343" t="str">
        <f t="shared" si="4"/>
        <v/>
      </c>
      <c r="T100" s="206"/>
      <c r="U100" s="17"/>
      <c r="V100" s="17"/>
      <c r="W100" s="17"/>
      <c r="X100" s="17"/>
      <c r="Y100" s="17"/>
      <c r="Z100" s="17"/>
      <c r="AA100" s="17"/>
      <c r="AB100" s="17"/>
      <c r="AC100" s="17"/>
    </row>
    <row r="101" ht="15.75" customHeight="1">
      <c r="A101" s="17"/>
      <c r="B101" s="333">
        <v>36.0</v>
      </c>
      <c r="C101" s="229" t="str">
        <f>IF('INPUT DATA'!Q46="","",'INPUT DATA'!Q46)</f>
        <v/>
      </c>
      <c r="D101" s="205"/>
      <c r="E101" s="205"/>
      <c r="F101" s="340" t="str">
        <f t="array" ref="F101">IF(TRIM(C101)="","",IFERROR(_xlfn.XLOOKUP(TRIM(C101),'TERM 1 SUMMARY'!$C$66:$C$115,'TERM 1 SUMMARY'!$T$66:$T$115),""))</f>
        <v/>
      </c>
      <c r="G101" s="205"/>
      <c r="H101" s="205"/>
      <c r="I101" s="205"/>
      <c r="J101" s="239" t="str">
        <f t="array" ref="J101">IF(TRIM(C101)="","",IFERROR(_xlfn.XLOOKUP(TRIM(C101),'TERM 2 SUMMARY A'!$C$15:$C$115,'TERM 2 SUMMARY A'!$T$15:T$115),""))</f>
        <v/>
      </c>
      <c r="K101" s="172"/>
      <c r="L101" s="163"/>
      <c r="M101" s="239" t="str">
        <f t="array" ref="M101">IF(TRIM(C101)="","",IFERROR(_xlfn.XLOOKUP(TRIM(C101),'TERM 3 SUMMARY B'!$C$15:$C$115,'TERM 3 SUMMARY B'!$T$15:$T$115),""))</f>
        <v/>
      </c>
      <c r="N101" s="172"/>
      <c r="O101" s="163"/>
      <c r="P101" s="342" t="str">
        <f t="shared" si="3"/>
        <v/>
      </c>
      <c r="Q101" s="205"/>
      <c r="R101" s="205"/>
      <c r="S101" s="343" t="str">
        <f t="shared" si="4"/>
        <v/>
      </c>
      <c r="T101" s="206"/>
      <c r="U101" s="17"/>
      <c r="V101" s="17"/>
      <c r="W101" s="17"/>
      <c r="X101" s="17"/>
      <c r="Y101" s="17"/>
      <c r="Z101" s="17"/>
      <c r="AA101" s="17"/>
      <c r="AB101" s="17"/>
      <c r="AC101" s="17"/>
    </row>
    <row r="102" ht="15.75" customHeight="1">
      <c r="A102" s="17"/>
      <c r="B102" s="333">
        <v>37.0</v>
      </c>
      <c r="C102" s="229" t="str">
        <f>IF('INPUT DATA'!Q47="","",'INPUT DATA'!Q47)</f>
        <v/>
      </c>
      <c r="D102" s="205"/>
      <c r="E102" s="205"/>
      <c r="F102" s="340" t="str">
        <f t="array" ref="F102">IF(TRIM(C102)="","",IFERROR(_xlfn.XLOOKUP(TRIM(C102),'TERM 1 SUMMARY'!$C$66:$C$115,'TERM 1 SUMMARY'!$T$66:$T$115),""))</f>
        <v/>
      </c>
      <c r="G102" s="205"/>
      <c r="H102" s="205"/>
      <c r="I102" s="205"/>
      <c r="J102" s="239" t="str">
        <f t="array" ref="J102">IF(TRIM(C102)="","",IFERROR(_xlfn.XLOOKUP(TRIM(C102),'TERM 2 SUMMARY A'!$C$15:$C$115,'TERM 2 SUMMARY A'!$T$15:T$115),""))</f>
        <v/>
      </c>
      <c r="K102" s="172"/>
      <c r="L102" s="163"/>
      <c r="M102" s="239" t="str">
        <f t="array" ref="M102">IF(TRIM(C102)="","",IFERROR(_xlfn.XLOOKUP(TRIM(C102),'TERM 3 SUMMARY B'!$C$15:$C$115,'TERM 3 SUMMARY B'!$T$15:$T$115),""))</f>
        <v/>
      </c>
      <c r="N102" s="172"/>
      <c r="O102" s="163"/>
      <c r="P102" s="342" t="str">
        <f t="shared" si="3"/>
        <v/>
      </c>
      <c r="Q102" s="205"/>
      <c r="R102" s="205"/>
      <c r="S102" s="343" t="str">
        <f t="shared" si="4"/>
        <v/>
      </c>
      <c r="T102" s="206"/>
      <c r="U102" s="17"/>
      <c r="V102" s="17"/>
      <c r="W102" s="17"/>
      <c r="X102" s="17"/>
      <c r="Y102" s="17"/>
      <c r="Z102" s="17"/>
      <c r="AA102" s="17"/>
      <c r="AB102" s="17"/>
      <c r="AC102" s="17"/>
    </row>
    <row r="103" ht="15.75" customHeight="1">
      <c r="A103" s="17"/>
      <c r="B103" s="333">
        <v>38.0</v>
      </c>
      <c r="C103" s="229" t="str">
        <f>IF('INPUT DATA'!Q48="","",'INPUT DATA'!Q48)</f>
        <v/>
      </c>
      <c r="D103" s="205"/>
      <c r="E103" s="205"/>
      <c r="F103" s="340" t="str">
        <f t="array" ref="F103">IF(TRIM(C103)="","",IFERROR(_xlfn.XLOOKUP(TRIM(C103),'TERM 1 SUMMARY'!$C$66:$C$115,'TERM 1 SUMMARY'!$T$66:$T$115),""))</f>
        <v/>
      </c>
      <c r="G103" s="205"/>
      <c r="H103" s="205"/>
      <c r="I103" s="205"/>
      <c r="J103" s="239" t="str">
        <f t="array" ref="J103">IF(TRIM(C103)="","",IFERROR(_xlfn.XLOOKUP(TRIM(C103),'TERM 2 SUMMARY A'!$C$15:$C$115,'TERM 2 SUMMARY A'!$T$15:T$115),""))</f>
        <v/>
      </c>
      <c r="K103" s="172"/>
      <c r="L103" s="163"/>
      <c r="M103" s="239" t="str">
        <f t="array" ref="M103">IF(TRIM(C103)="","",IFERROR(_xlfn.XLOOKUP(TRIM(C103),'TERM 3 SUMMARY B'!$C$15:$C$115,'TERM 3 SUMMARY B'!$T$15:$T$115),""))</f>
        <v/>
      </c>
      <c r="N103" s="172"/>
      <c r="O103" s="163"/>
      <c r="P103" s="342" t="str">
        <f t="shared" si="3"/>
        <v/>
      </c>
      <c r="Q103" s="205"/>
      <c r="R103" s="205"/>
      <c r="S103" s="343" t="str">
        <f t="shared" si="4"/>
        <v/>
      </c>
      <c r="T103" s="206"/>
      <c r="U103" s="17"/>
      <c r="V103" s="17"/>
      <c r="W103" s="17"/>
      <c r="X103" s="17"/>
      <c r="Y103" s="17"/>
      <c r="Z103" s="17"/>
      <c r="AA103" s="17"/>
      <c r="AB103" s="17"/>
      <c r="AC103" s="17"/>
    </row>
    <row r="104" ht="15.75" customHeight="1">
      <c r="A104" s="17"/>
      <c r="B104" s="333">
        <v>39.0</v>
      </c>
      <c r="C104" s="229" t="str">
        <f>IF('INPUT DATA'!Q49="","",'INPUT DATA'!Q49)</f>
        <v/>
      </c>
      <c r="D104" s="205"/>
      <c r="E104" s="205"/>
      <c r="F104" s="340" t="str">
        <f t="array" ref="F104">IF(TRIM(C104)="","",IFERROR(_xlfn.XLOOKUP(TRIM(C104),'TERM 1 SUMMARY'!$C$66:$C$115,'TERM 1 SUMMARY'!$T$66:$T$115),""))</f>
        <v/>
      </c>
      <c r="G104" s="205"/>
      <c r="H104" s="205"/>
      <c r="I104" s="205"/>
      <c r="J104" s="239" t="str">
        <f t="array" ref="J104">IF(TRIM(C104)="","",IFERROR(_xlfn.XLOOKUP(TRIM(C104),'TERM 2 SUMMARY A'!$C$15:$C$115,'TERM 2 SUMMARY A'!$T$15:T$115),""))</f>
        <v/>
      </c>
      <c r="K104" s="172"/>
      <c r="L104" s="163"/>
      <c r="M104" s="239" t="str">
        <f t="array" ref="M104">IF(TRIM(C104)="","",IFERROR(_xlfn.XLOOKUP(TRIM(C104),'TERM 3 SUMMARY B'!$C$15:$C$115,'TERM 3 SUMMARY B'!$T$15:$T$115),""))</f>
        <v/>
      </c>
      <c r="N104" s="172"/>
      <c r="O104" s="163"/>
      <c r="P104" s="342" t="str">
        <f t="shared" si="3"/>
        <v/>
      </c>
      <c r="Q104" s="205"/>
      <c r="R104" s="205"/>
      <c r="S104" s="343" t="str">
        <f t="shared" si="4"/>
        <v/>
      </c>
      <c r="T104" s="206"/>
      <c r="U104" s="17"/>
      <c r="V104" s="17"/>
      <c r="W104" s="17"/>
      <c r="X104" s="17"/>
      <c r="Y104" s="17"/>
      <c r="Z104" s="17"/>
      <c r="AA104" s="17"/>
      <c r="AB104" s="17"/>
      <c r="AC104" s="17"/>
    </row>
    <row r="105" ht="15.75" customHeight="1">
      <c r="A105" s="17"/>
      <c r="B105" s="333">
        <v>40.0</v>
      </c>
      <c r="C105" s="229" t="str">
        <f>IF('INPUT DATA'!Q50="","",'INPUT DATA'!Q50)</f>
        <v/>
      </c>
      <c r="D105" s="205"/>
      <c r="E105" s="205"/>
      <c r="F105" s="340" t="str">
        <f t="array" ref="F105">IF(TRIM(C105)="","",IFERROR(_xlfn.XLOOKUP(TRIM(C105),'TERM 1 SUMMARY'!$C$66:$C$115,'TERM 1 SUMMARY'!$T$66:$T$115),""))</f>
        <v/>
      </c>
      <c r="G105" s="205"/>
      <c r="H105" s="205"/>
      <c r="I105" s="205"/>
      <c r="J105" s="239" t="str">
        <f t="array" ref="J105">IF(TRIM(C105)="","",IFERROR(_xlfn.XLOOKUP(TRIM(C105),'TERM 2 SUMMARY A'!$C$15:$C$115,'TERM 2 SUMMARY A'!$T$15:T$115),""))</f>
        <v/>
      </c>
      <c r="K105" s="172"/>
      <c r="L105" s="163"/>
      <c r="M105" s="239" t="str">
        <f t="array" ref="M105">IF(TRIM(C105)="","",IFERROR(_xlfn.XLOOKUP(TRIM(C105),'TERM 3 SUMMARY B'!$C$15:$C$115,'TERM 3 SUMMARY B'!$T$15:$T$115),""))</f>
        <v/>
      </c>
      <c r="N105" s="172"/>
      <c r="O105" s="163"/>
      <c r="P105" s="342" t="str">
        <f t="shared" si="3"/>
        <v/>
      </c>
      <c r="Q105" s="205"/>
      <c r="R105" s="205"/>
      <c r="S105" s="343" t="str">
        <f t="shared" si="4"/>
        <v/>
      </c>
      <c r="T105" s="206"/>
      <c r="U105" s="17"/>
      <c r="V105" s="17"/>
      <c r="W105" s="17"/>
      <c r="X105" s="17"/>
      <c r="Y105" s="17"/>
      <c r="Z105" s="17"/>
      <c r="AA105" s="17"/>
      <c r="AB105" s="17"/>
      <c r="AC105" s="17"/>
    </row>
    <row r="106" ht="15.75" customHeight="1">
      <c r="A106" s="17"/>
      <c r="B106" s="333">
        <v>41.0</v>
      </c>
      <c r="C106" s="229" t="str">
        <f>IF('INPUT DATA'!Q51="","",'INPUT DATA'!Q51)</f>
        <v/>
      </c>
      <c r="D106" s="205"/>
      <c r="E106" s="205"/>
      <c r="F106" s="340" t="str">
        <f t="array" ref="F106">IF(TRIM(C106)="","",IFERROR(_xlfn.XLOOKUP(TRIM(C106),'TERM 1 SUMMARY'!$C$66:$C$115,'TERM 1 SUMMARY'!$T$66:$T$115),""))</f>
        <v/>
      </c>
      <c r="G106" s="205"/>
      <c r="H106" s="205"/>
      <c r="I106" s="205"/>
      <c r="J106" s="239" t="str">
        <f t="array" ref="J106">IF(TRIM(C106)="","",IFERROR(_xlfn.XLOOKUP(TRIM(C106),'TERM 2 SUMMARY A'!$C$15:$C$115,'TERM 2 SUMMARY A'!$T$15:T$115),""))</f>
        <v/>
      </c>
      <c r="K106" s="172"/>
      <c r="L106" s="163"/>
      <c r="M106" s="239" t="str">
        <f t="array" ref="M106">IF(TRIM(C106)="","",IFERROR(_xlfn.XLOOKUP(TRIM(C106),'TERM 3 SUMMARY B'!$C$15:$C$115,'TERM 3 SUMMARY B'!$T$15:$T$115),""))</f>
        <v/>
      </c>
      <c r="N106" s="172"/>
      <c r="O106" s="163"/>
      <c r="P106" s="342" t="str">
        <f t="shared" si="3"/>
        <v/>
      </c>
      <c r="Q106" s="205"/>
      <c r="R106" s="205"/>
      <c r="S106" s="343" t="str">
        <f t="shared" si="4"/>
        <v/>
      </c>
      <c r="T106" s="206"/>
      <c r="U106" s="17"/>
      <c r="V106" s="17"/>
      <c r="W106" s="17"/>
      <c r="X106" s="17"/>
      <c r="Y106" s="17"/>
      <c r="Z106" s="17"/>
      <c r="AA106" s="17"/>
      <c r="AB106" s="17"/>
      <c r="AC106" s="17"/>
    </row>
    <row r="107" ht="15.75" customHeight="1">
      <c r="A107" s="17"/>
      <c r="B107" s="333">
        <v>42.0</v>
      </c>
      <c r="C107" s="229" t="str">
        <f>IF('INPUT DATA'!Q52="","",'INPUT DATA'!Q52)</f>
        <v/>
      </c>
      <c r="D107" s="205"/>
      <c r="E107" s="205"/>
      <c r="F107" s="340" t="str">
        <f t="array" ref="F107">IF(TRIM(C107)="","",IFERROR(_xlfn.XLOOKUP(TRIM(C107),'TERM 1 SUMMARY'!$C$66:$C$115,'TERM 1 SUMMARY'!$T$66:$T$115),""))</f>
        <v/>
      </c>
      <c r="G107" s="205"/>
      <c r="H107" s="205"/>
      <c r="I107" s="205"/>
      <c r="J107" s="239" t="str">
        <f t="array" ref="J107">IF(TRIM(C107)="","",IFERROR(_xlfn.XLOOKUP(TRIM(C107),'TERM 2 SUMMARY A'!$C$15:$C$115,'TERM 2 SUMMARY A'!$T$15:T$115),""))</f>
        <v/>
      </c>
      <c r="K107" s="172"/>
      <c r="L107" s="163"/>
      <c r="M107" s="239" t="str">
        <f t="array" ref="M107">IF(TRIM(C107)="","",IFERROR(_xlfn.XLOOKUP(TRIM(C107),'TERM 3 SUMMARY B'!$C$15:$C$115,'TERM 3 SUMMARY B'!$T$15:$T$115),""))</f>
        <v/>
      </c>
      <c r="N107" s="172"/>
      <c r="O107" s="163"/>
      <c r="P107" s="342" t="str">
        <f t="shared" si="3"/>
        <v/>
      </c>
      <c r="Q107" s="205"/>
      <c r="R107" s="205"/>
      <c r="S107" s="343" t="str">
        <f t="shared" si="4"/>
        <v/>
      </c>
      <c r="T107" s="206"/>
      <c r="U107" s="17"/>
      <c r="V107" s="17"/>
      <c r="W107" s="17"/>
      <c r="X107" s="17"/>
      <c r="Y107" s="17"/>
      <c r="Z107" s="17"/>
      <c r="AA107" s="17"/>
      <c r="AB107" s="17"/>
      <c r="AC107" s="17"/>
    </row>
    <row r="108" ht="15.75" customHeight="1">
      <c r="A108" s="17"/>
      <c r="B108" s="333">
        <v>43.0</v>
      </c>
      <c r="C108" s="229" t="str">
        <f>IF('INPUT DATA'!Q53="","",'INPUT DATA'!Q53)</f>
        <v/>
      </c>
      <c r="D108" s="205"/>
      <c r="E108" s="205"/>
      <c r="F108" s="340" t="str">
        <f t="array" ref="F108">IF(TRIM(C108)="","",IFERROR(_xlfn.XLOOKUP(TRIM(C108),'TERM 1 SUMMARY'!$C$66:$C$115,'TERM 1 SUMMARY'!$T$66:$T$115),""))</f>
        <v/>
      </c>
      <c r="G108" s="205"/>
      <c r="H108" s="205"/>
      <c r="I108" s="205"/>
      <c r="J108" s="239" t="str">
        <f t="array" ref="J108">IF(TRIM(C108)="","",IFERROR(_xlfn.XLOOKUP(TRIM(C108),'TERM 2 SUMMARY A'!$C$15:$C$115,'TERM 2 SUMMARY A'!$T$15:T$115),""))</f>
        <v/>
      </c>
      <c r="K108" s="172"/>
      <c r="L108" s="163"/>
      <c r="M108" s="239" t="str">
        <f t="array" ref="M108">IF(TRIM(C108)="","",IFERROR(_xlfn.XLOOKUP(TRIM(C108),'TERM 3 SUMMARY B'!$C$15:$C$115,'TERM 3 SUMMARY B'!$T$15:$T$115),""))</f>
        <v/>
      </c>
      <c r="N108" s="172"/>
      <c r="O108" s="163"/>
      <c r="P108" s="342" t="str">
        <f t="shared" si="3"/>
        <v/>
      </c>
      <c r="Q108" s="205"/>
      <c r="R108" s="205"/>
      <c r="S108" s="343" t="str">
        <f t="shared" si="4"/>
        <v/>
      </c>
      <c r="T108" s="206"/>
      <c r="U108" s="17"/>
      <c r="V108" s="17"/>
      <c r="W108" s="17"/>
      <c r="X108" s="17"/>
      <c r="Y108" s="17"/>
      <c r="Z108" s="17"/>
      <c r="AA108" s="17"/>
      <c r="AB108" s="17"/>
      <c r="AC108" s="17"/>
    </row>
    <row r="109" ht="15.75" customHeight="1">
      <c r="A109" s="17"/>
      <c r="B109" s="333">
        <v>44.0</v>
      </c>
      <c r="C109" s="229" t="str">
        <f>IF('INPUT DATA'!Q54="","",'INPUT DATA'!Q54)</f>
        <v/>
      </c>
      <c r="D109" s="205"/>
      <c r="E109" s="205"/>
      <c r="F109" s="340" t="str">
        <f t="array" ref="F109">IF(TRIM(C109)="","",IFERROR(_xlfn.XLOOKUP(TRIM(C109),'TERM 1 SUMMARY'!$C$66:$C$115,'TERM 1 SUMMARY'!$T$66:$T$115),""))</f>
        <v/>
      </c>
      <c r="G109" s="205"/>
      <c r="H109" s="205"/>
      <c r="I109" s="205"/>
      <c r="J109" s="239" t="str">
        <f t="array" ref="J109">IF(TRIM(C109)="","",IFERROR(_xlfn.XLOOKUP(TRIM(C109),'TERM 2 SUMMARY A'!$C$15:$C$115,'TERM 2 SUMMARY A'!$T$15:T$115),""))</f>
        <v/>
      </c>
      <c r="K109" s="172"/>
      <c r="L109" s="163"/>
      <c r="M109" s="239" t="str">
        <f t="array" ref="M109">IF(TRIM(C109)="","",IFERROR(_xlfn.XLOOKUP(TRIM(C109),'TERM 3 SUMMARY B'!$C$15:$C$115,'TERM 3 SUMMARY B'!$T$15:$T$115),""))</f>
        <v/>
      </c>
      <c r="N109" s="172"/>
      <c r="O109" s="163"/>
      <c r="P109" s="342" t="str">
        <f t="shared" si="3"/>
        <v/>
      </c>
      <c r="Q109" s="205"/>
      <c r="R109" s="205"/>
      <c r="S109" s="343" t="str">
        <f t="shared" si="4"/>
        <v/>
      </c>
      <c r="T109" s="206"/>
      <c r="U109" s="17"/>
      <c r="V109" s="17"/>
      <c r="W109" s="17"/>
      <c r="X109" s="17"/>
      <c r="Y109" s="17"/>
      <c r="Z109" s="17"/>
      <c r="AA109" s="17"/>
      <c r="AB109" s="17"/>
      <c r="AC109" s="17"/>
    </row>
    <row r="110" ht="15.75" customHeight="1">
      <c r="A110" s="17"/>
      <c r="B110" s="333">
        <v>45.0</v>
      </c>
      <c r="C110" s="229" t="str">
        <f>IF('INPUT DATA'!Q55="","",'INPUT DATA'!Q55)</f>
        <v/>
      </c>
      <c r="D110" s="205"/>
      <c r="E110" s="205"/>
      <c r="F110" s="340" t="str">
        <f t="array" ref="F110">IF(TRIM(C110)="","",IFERROR(_xlfn.XLOOKUP(TRIM(C110),'TERM 1 SUMMARY'!$C$66:$C$115,'TERM 1 SUMMARY'!$T$66:$T$115),""))</f>
        <v/>
      </c>
      <c r="G110" s="205"/>
      <c r="H110" s="205"/>
      <c r="I110" s="205"/>
      <c r="J110" s="239" t="str">
        <f t="array" ref="J110">IF(TRIM(C110)="","",IFERROR(_xlfn.XLOOKUP(TRIM(C110),'TERM 2 SUMMARY A'!$C$15:$C$115,'TERM 2 SUMMARY A'!$T$15:T$115),""))</f>
        <v/>
      </c>
      <c r="K110" s="172"/>
      <c r="L110" s="163"/>
      <c r="M110" s="239" t="str">
        <f t="array" ref="M110">IF(TRIM(C110)="","",IFERROR(_xlfn.XLOOKUP(TRIM(C110),'TERM 3 SUMMARY B'!$C$15:$C$115,'TERM 3 SUMMARY B'!$T$15:$T$115),""))</f>
        <v/>
      </c>
      <c r="N110" s="172"/>
      <c r="O110" s="163"/>
      <c r="P110" s="342" t="str">
        <f t="shared" si="3"/>
        <v/>
      </c>
      <c r="Q110" s="205"/>
      <c r="R110" s="205"/>
      <c r="S110" s="343" t="str">
        <f t="shared" si="4"/>
        <v/>
      </c>
      <c r="T110" s="206"/>
      <c r="U110" s="17"/>
      <c r="V110" s="17"/>
      <c r="W110" s="17"/>
      <c r="X110" s="17"/>
      <c r="Y110" s="17"/>
      <c r="Z110" s="17"/>
      <c r="AA110" s="17"/>
      <c r="AB110" s="17"/>
      <c r="AC110" s="17"/>
    </row>
    <row r="111" ht="15.75" customHeight="1">
      <c r="A111" s="17"/>
      <c r="B111" s="333">
        <v>46.0</v>
      </c>
      <c r="C111" s="229" t="str">
        <f>IF('INPUT DATA'!Q56="","",'INPUT DATA'!Q56)</f>
        <v/>
      </c>
      <c r="D111" s="205"/>
      <c r="E111" s="205"/>
      <c r="F111" s="340" t="str">
        <f t="array" ref="F111">IF(TRIM(C111)="","",IFERROR(_xlfn.XLOOKUP(TRIM(C111),'TERM 1 SUMMARY'!$C$66:$C$115,'TERM 1 SUMMARY'!$T$66:$T$115),""))</f>
        <v/>
      </c>
      <c r="G111" s="205"/>
      <c r="H111" s="205"/>
      <c r="I111" s="205"/>
      <c r="J111" s="239" t="str">
        <f t="array" ref="J111">IF(TRIM(C111)="","",IFERROR(_xlfn.XLOOKUP(TRIM(C111),'TERM 2 SUMMARY A'!$C$15:$C$115,'TERM 2 SUMMARY A'!$T$15:T$115),""))</f>
        <v/>
      </c>
      <c r="K111" s="172"/>
      <c r="L111" s="163"/>
      <c r="M111" s="239" t="str">
        <f t="array" ref="M111">IF(TRIM(C111)="","",IFERROR(_xlfn.XLOOKUP(TRIM(C111),'TERM 3 SUMMARY B'!$C$15:$C$115,'TERM 3 SUMMARY B'!$T$15:$T$115),""))</f>
        <v/>
      </c>
      <c r="N111" s="172"/>
      <c r="O111" s="163"/>
      <c r="P111" s="342" t="str">
        <f t="shared" si="3"/>
        <v/>
      </c>
      <c r="Q111" s="205"/>
      <c r="R111" s="205"/>
      <c r="S111" s="343" t="str">
        <f t="shared" si="4"/>
        <v/>
      </c>
      <c r="T111" s="206"/>
      <c r="U111" s="17"/>
      <c r="V111" s="17"/>
      <c r="W111" s="17"/>
      <c r="X111" s="17"/>
      <c r="Y111" s="17"/>
      <c r="Z111" s="17"/>
      <c r="AA111" s="17"/>
      <c r="AB111" s="17"/>
      <c r="AC111" s="17"/>
    </row>
    <row r="112" ht="15.75" customHeight="1">
      <c r="A112" s="17"/>
      <c r="B112" s="333">
        <v>47.0</v>
      </c>
      <c r="C112" s="229" t="str">
        <f>IF('INPUT DATA'!Q57="","",'INPUT DATA'!Q57)</f>
        <v/>
      </c>
      <c r="D112" s="205"/>
      <c r="E112" s="205"/>
      <c r="F112" s="340" t="str">
        <f t="array" ref="F112">IF(TRIM(C112)="","",IFERROR(_xlfn.XLOOKUP(TRIM(C112),'TERM 1 SUMMARY'!$C$66:$C$115,'TERM 1 SUMMARY'!$T$66:$T$115),""))</f>
        <v/>
      </c>
      <c r="G112" s="205"/>
      <c r="H112" s="205"/>
      <c r="I112" s="205"/>
      <c r="J112" s="239" t="str">
        <f t="array" ref="J112">IF(TRIM(C112)="","",IFERROR(_xlfn.XLOOKUP(TRIM(C112),'TERM 2 SUMMARY A'!$C$15:$C$115,'TERM 2 SUMMARY A'!$T$15:T$115),""))</f>
        <v/>
      </c>
      <c r="K112" s="172"/>
      <c r="L112" s="163"/>
      <c r="M112" s="239" t="str">
        <f t="array" ref="M112">IF(TRIM(C112)="","",IFERROR(_xlfn.XLOOKUP(TRIM(C112),'TERM 3 SUMMARY B'!$C$15:$C$115,'TERM 3 SUMMARY B'!$T$15:$T$115),""))</f>
        <v/>
      </c>
      <c r="N112" s="172"/>
      <c r="O112" s="163"/>
      <c r="P112" s="342" t="str">
        <f t="shared" si="3"/>
        <v/>
      </c>
      <c r="Q112" s="205"/>
      <c r="R112" s="205"/>
      <c r="S112" s="343" t="str">
        <f t="shared" si="4"/>
        <v/>
      </c>
      <c r="T112" s="206"/>
      <c r="U112" s="17"/>
      <c r="V112" s="17"/>
      <c r="W112" s="17"/>
      <c r="X112" s="17"/>
      <c r="Y112" s="17"/>
      <c r="Z112" s="17"/>
      <c r="AA112" s="17"/>
      <c r="AB112" s="17"/>
      <c r="AC112" s="17"/>
    </row>
    <row r="113" ht="15.75" customHeight="1">
      <c r="A113" s="17"/>
      <c r="B113" s="333">
        <v>48.0</v>
      </c>
      <c r="C113" s="229" t="str">
        <f>IF('INPUT DATA'!Q58="","",'INPUT DATA'!Q58)</f>
        <v/>
      </c>
      <c r="D113" s="205"/>
      <c r="E113" s="205"/>
      <c r="F113" s="340" t="str">
        <f t="array" ref="F113">IF(TRIM(C113)="","",IFERROR(_xlfn.XLOOKUP(TRIM(C113),'TERM 1 SUMMARY'!$C$66:$C$115,'TERM 1 SUMMARY'!$T$66:$T$115),""))</f>
        <v/>
      </c>
      <c r="G113" s="205"/>
      <c r="H113" s="205"/>
      <c r="I113" s="205"/>
      <c r="J113" s="239" t="str">
        <f t="array" ref="J113">IF(TRIM(C113)="","",IFERROR(_xlfn.XLOOKUP(TRIM(C113),'TERM 2 SUMMARY A'!$C$15:$C$115,'TERM 2 SUMMARY A'!$T$15:T$115),""))</f>
        <v/>
      </c>
      <c r="K113" s="172"/>
      <c r="L113" s="163"/>
      <c r="M113" s="239" t="str">
        <f t="array" ref="M113">IF(TRIM(C113)="","",IFERROR(_xlfn.XLOOKUP(TRIM(C113),'TERM 3 SUMMARY B'!$C$15:$C$115,'TERM 3 SUMMARY B'!$T$15:$T$115),""))</f>
        <v/>
      </c>
      <c r="N113" s="172"/>
      <c r="O113" s="163"/>
      <c r="P113" s="342" t="str">
        <f t="shared" si="3"/>
        <v/>
      </c>
      <c r="Q113" s="205"/>
      <c r="R113" s="205"/>
      <c r="S113" s="343" t="str">
        <f t="shared" si="4"/>
        <v/>
      </c>
      <c r="T113" s="206"/>
      <c r="U113" s="17"/>
      <c r="V113" s="17"/>
      <c r="W113" s="17"/>
      <c r="X113" s="17"/>
      <c r="Y113" s="17"/>
      <c r="Z113" s="17"/>
      <c r="AA113" s="17"/>
      <c r="AB113" s="17"/>
      <c r="AC113" s="17"/>
    </row>
    <row r="114" ht="15.75" customHeight="1">
      <c r="A114" s="17"/>
      <c r="B114" s="333">
        <v>49.0</v>
      </c>
      <c r="C114" s="229" t="str">
        <f>IF('INPUT DATA'!Q59="","",'INPUT DATA'!Q59)</f>
        <v/>
      </c>
      <c r="D114" s="205"/>
      <c r="E114" s="205"/>
      <c r="F114" s="340" t="str">
        <f t="array" ref="F114">IF(TRIM(C114)="","",IFERROR(_xlfn.XLOOKUP(TRIM(C114),'TERM 1 SUMMARY'!$C$66:$C$115,'TERM 1 SUMMARY'!$T$66:$T$115),""))</f>
        <v/>
      </c>
      <c r="G114" s="205"/>
      <c r="H114" s="205"/>
      <c r="I114" s="205"/>
      <c r="J114" s="239" t="str">
        <f t="array" ref="J114">IF(TRIM(C114)="","",IFERROR(_xlfn.XLOOKUP(TRIM(C114),'TERM 2 SUMMARY A'!$C$15:$C$115,'TERM 2 SUMMARY A'!$T$15:T$115),""))</f>
        <v/>
      </c>
      <c r="K114" s="172"/>
      <c r="L114" s="163"/>
      <c r="M114" s="239" t="str">
        <f t="array" ref="M114">IF(TRIM(C114)="","",IFERROR(_xlfn.XLOOKUP(TRIM(C114),'TERM 3 SUMMARY B'!$C$15:$C$115,'TERM 3 SUMMARY B'!$T$15:$T$115),""))</f>
        <v/>
      </c>
      <c r="N114" s="172"/>
      <c r="O114" s="163"/>
      <c r="P114" s="342" t="str">
        <f t="shared" si="3"/>
        <v/>
      </c>
      <c r="Q114" s="205"/>
      <c r="R114" s="205"/>
      <c r="S114" s="343" t="str">
        <f t="shared" si="4"/>
        <v/>
      </c>
      <c r="T114" s="206"/>
      <c r="U114" s="17"/>
      <c r="V114" s="17"/>
      <c r="W114" s="17"/>
      <c r="X114" s="17"/>
      <c r="Y114" s="17"/>
      <c r="Z114" s="17"/>
      <c r="AA114" s="17"/>
      <c r="AB114" s="17"/>
      <c r="AC114" s="17"/>
    </row>
    <row r="115" ht="15.75" customHeight="1">
      <c r="A115" s="17"/>
      <c r="B115" s="344">
        <v>50.0</v>
      </c>
      <c r="C115" s="345" t="str">
        <f>IF('INPUT DATA'!Q60="","",'INPUT DATA'!Q60)</f>
        <v/>
      </c>
      <c r="D115" s="75"/>
      <c r="E115" s="75"/>
      <c r="F115" s="346" t="str">
        <f t="array" ref="F115">IF(TRIM(C115)="","",IFERROR(_xlfn.XLOOKUP(TRIM(C115),'TERM 1 SUMMARY'!$C$66:$C$115,'TERM 1 SUMMARY'!$T$66:$T$115),""))</f>
        <v/>
      </c>
      <c r="G115" s="75"/>
      <c r="H115" s="75"/>
      <c r="I115" s="75"/>
      <c r="J115" s="337" t="str">
        <f t="array" ref="J115">IF(TRIM(C115)="","",IFERROR(_xlfn.XLOOKUP(TRIM(C115),'TERM 2 SUMMARY A'!$C$15:$C$115,'TERM 2 SUMMARY A'!$T$15:T$115),""))</f>
        <v/>
      </c>
      <c r="K115" s="155"/>
      <c r="L115" s="156"/>
      <c r="M115" s="337" t="str">
        <f t="array" ref="M115">IF(TRIM(C115)="","",IFERROR(_xlfn.XLOOKUP(TRIM(C115),'TERM 3 SUMMARY B'!$C$15:$C$115,'TERM 3 SUMMARY B'!$T$15:$T$115),""))</f>
        <v/>
      </c>
      <c r="N115" s="155"/>
      <c r="O115" s="156"/>
      <c r="P115" s="347" t="str">
        <f t="shared" si="3"/>
        <v/>
      </c>
      <c r="Q115" s="75"/>
      <c r="R115" s="75"/>
      <c r="S115" s="348" t="str">
        <f t="shared" si="4"/>
        <v/>
      </c>
      <c r="T115" s="76"/>
      <c r="U115" s="17"/>
      <c r="V115" s="17"/>
      <c r="W115" s="17"/>
      <c r="X115" s="17"/>
      <c r="Y115" s="17"/>
      <c r="Z115" s="17"/>
      <c r="AA115" s="17"/>
      <c r="AB115" s="17"/>
      <c r="AC115" s="17"/>
    </row>
    <row r="116" ht="15.75" customHeight="1">
      <c r="A116" s="17"/>
      <c r="B116" s="17"/>
      <c r="C116" s="20"/>
      <c r="D116" s="17"/>
      <c r="E116" s="17"/>
      <c r="F116" s="17"/>
      <c r="K116" s="189"/>
      <c r="L116" s="17"/>
      <c r="N116" s="17"/>
      <c r="O116" s="17"/>
      <c r="P116" s="17"/>
      <c r="S116" s="17"/>
      <c r="U116" s="17"/>
      <c r="V116" s="17"/>
      <c r="W116" s="17"/>
      <c r="X116" s="17"/>
      <c r="Y116" s="17"/>
      <c r="Z116" s="17"/>
      <c r="AA116" s="17"/>
      <c r="AB116" s="17"/>
      <c r="AC116" s="17"/>
    </row>
    <row r="117" ht="15.75" customHeight="1">
      <c r="A117" s="17"/>
      <c r="B117" s="17"/>
      <c r="C117" s="20"/>
      <c r="D117" s="17"/>
      <c r="E117" s="17"/>
      <c r="F117" s="17"/>
      <c r="K117" s="189"/>
      <c r="L117" s="17"/>
      <c r="N117" s="17"/>
      <c r="O117" s="17"/>
      <c r="P117" s="17"/>
      <c r="S117" s="17"/>
      <c r="U117" s="17"/>
      <c r="V117" s="17"/>
      <c r="W117" s="17"/>
      <c r="X117" s="17"/>
      <c r="Y117" s="17"/>
      <c r="Z117" s="17"/>
      <c r="AA117" s="17"/>
      <c r="AB117" s="17"/>
      <c r="AC117" s="17"/>
    </row>
    <row r="118" ht="15.75" customHeight="1">
      <c r="A118" s="17"/>
      <c r="B118" s="17"/>
      <c r="C118" s="20"/>
      <c r="D118" s="17"/>
      <c r="E118" s="17"/>
      <c r="F118" s="17"/>
      <c r="K118" s="189"/>
      <c r="L118" s="17"/>
      <c r="N118" s="17"/>
      <c r="O118" s="17"/>
      <c r="P118" s="17"/>
      <c r="S118" s="17"/>
      <c r="U118" s="17"/>
      <c r="V118" s="17"/>
      <c r="W118" s="17"/>
      <c r="X118" s="17"/>
      <c r="Y118" s="17"/>
      <c r="Z118" s="17"/>
      <c r="AA118" s="17"/>
      <c r="AB118" s="17"/>
      <c r="AC118" s="17"/>
    </row>
    <row r="119" ht="15.75" customHeight="1">
      <c r="A119" s="17"/>
      <c r="B119" s="17"/>
      <c r="C119" s="20"/>
      <c r="D119" s="17"/>
      <c r="E119" s="17"/>
      <c r="F119" s="17"/>
      <c r="K119" s="189"/>
      <c r="L119" s="17"/>
      <c r="N119" s="17"/>
      <c r="O119" s="17"/>
      <c r="P119" s="17"/>
      <c r="S119" s="17"/>
      <c r="U119" s="17"/>
      <c r="V119" s="17"/>
      <c r="W119" s="17"/>
      <c r="X119" s="17"/>
      <c r="Y119" s="17"/>
      <c r="Z119" s="17"/>
      <c r="AA119" s="17"/>
      <c r="AB119" s="17"/>
      <c r="AC119" s="17"/>
    </row>
    <row r="120" ht="15.75" customHeight="1">
      <c r="A120" s="17"/>
      <c r="B120" s="17"/>
      <c r="C120" s="20"/>
      <c r="D120" s="17"/>
      <c r="E120" s="17"/>
      <c r="F120" s="17"/>
      <c r="K120" s="189"/>
      <c r="L120" s="17"/>
      <c r="N120" s="17"/>
      <c r="O120" s="17"/>
      <c r="P120" s="17"/>
      <c r="S120" s="17"/>
      <c r="U120" s="17"/>
      <c r="V120" s="17"/>
      <c r="W120" s="17"/>
      <c r="X120" s="17"/>
      <c r="Y120" s="17"/>
      <c r="Z120" s="17"/>
      <c r="AA120" s="17"/>
      <c r="AB120" s="17"/>
      <c r="AC120" s="17"/>
    </row>
    <row r="121" ht="15.75" customHeight="1">
      <c r="A121" s="17"/>
      <c r="B121" s="17"/>
      <c r="C121" s="20"/>
      <c r="D121" s="17"/>
      <c r="E121" s="17"/>
      <c r="F121" s="17"/>
      <c r="K121" s="189"/>
      <c r="L121" s="17"/>
      <c r="N121" s="17"/>
      <c r="O121" s="17"/>
      <c r="P121" s="17"/>
      <c r="S121" s="17"/>
      <c r="U121" s="17"/>
      <c r="V121" s="17"/>
      <c r="W121" s="17"/>
      <c r="X121" s="17"/>
      <c r="Y121" s="17"/>
      <c r="Z121" s="17"/>
      <c r="AA121" s="17"/>
      <c r="AB121" s="17"/>
      <c r="AC121" s="17"/>
    </row>
    <row r="122" ht="15.75" customHeight="1">
      <c r="A122" s="17"/>
      <c r="B122" s="17"/>
      <c r="C122" s="20"/>
      <c r="D122" s="17"/>
      <c r="E122" s="17"/>
      <c r="F122" s="17"/>
      <c r="K122" s="189"/>
      <c r="L122" s="17"/>
      <c r="N122" s="17"/>
      <c r="O122" s="17"/>
      <c r="P122" s="17"/>
      <c r="S122" s="17"/>
      <c r="U122" s="17"/>
      <c r="V122" s="17"/>
      <c r="W122" s="17"/>
      <c r="X122" s="17"/>
      <c r="Y122" s="17"/>
      <c r="Z122" s="17"/>
      <c r="AA122" s="17"/>
      <c r="AB122" s="17"/>
      <c r="AC122" s="17"/>
    </row>
    <row r="123" ht="15.75" customHeight="1">
      <c r="A123" s="17"/>
      <c r="B123" s="17"/>
      <c r="C123" s="20"/>
      <c r="D123" s="17"/>
      <c r="E123" s="17"/>
      <c r="F123" s="17"/>
      <c r="K123" s="189"/>
      <c r="L123" s="17"/>
      <c r="N123" s="17"/>
      <c r="O123" s="17"/>
      <c r="P123" s="17"/>
      <c r="S123" s="17"/>
      <c r="U123" s="17"/>
      <c r="V123" s="17"/>
      <c r="W123" s="17"/>
      <c r="X123" s="17"/>
      <c r="Y123" s="17"/>
      <c r="Z123" s="17"/>
      <c r="AA123" s="17"/>
      <c r="AB123" s="17"/>
      <c r="AC123" s="17"/>
    </row>
    <row r="124" ht="15.75" customHeight="1">
      <c r="A124" s="17"/>
      <c r="B124" s="17"/>
      <c r="C124" s="20"/>
      <c r="D124" s="17"/>
      <c r="E124" s="17"/>
      <c r="F124" s="17"/>
      <c r="K124" s="189"/>
      <c r="L124" s="17"/>
      <c r="N124" s="17"/>
      <c r="O124" s="17"/>
      <c r="P124" s="17"/>
      <c r="S124" s="17"/>
      <c r="U124" s="17"/>
      <c r="V124" s="17"/>
      <c r="W124" s="17"/>
      <c r="X124" s="17"/>
      <c r="Y124" s="17"/>
      <c r="Z124" s="17"/>
      <c r="AA124" s="17"/>
      <c r="AB124" s="17"/>
      <c r="AC124" s="17"/>
    </row>
    <row r="125" ht="15.75" customHeight="1">
      <c r="A125" s="17"/>
      <c r="B125" s="17"/>
      <c r="C125" s="20"/>
      <c r="D125" s="17"/>
      <c r="E125" s="17"/>
      <c r="F125" s="17"/>
      <c r="K125" s="189"/>
      <c r="L125" s="17"/>
      <c r="N125" s="17"/>
      <c r="O125" s="17"/>
      <c r="P125" s="17"/>
      <c r="S125" s="17"/>
      <c r="U125" s="17"/>
      <c r="V125" s="17"/>
      <c r="W125" s="17"/>
      <c r="X125" s="17"/>
      <c r="Y125" s="17"/>
      <c r="Z125" s="17"/>
      <c r="AA125" s="17"/>
      <c r="AB125" s="17"/>
      <c r="AC125" s="17"/>
    </row>
    <row r="126" ht="15.75" customHeight="1">
      <c r="A126" s="17"/>
      <c r="B126" s="17"/>
      <c r="C126" s="20"/>
      <c r="D126" s="17"/>
      <c r="E126" s="17"/>
      <c r="F126" s="17"/>
      <c r="K126" s="189"/>
      <c r="L126" s="17"/>
      <c r="N126" s="17"/>
      <c r="O126" s="17"/>
      <c r="P126" s="17"/>
      <c r="S126" s="17"/>
      <c r="U126" s="17"/>
      <c r="V126" s="17"/>
      <c r="W126" s="17"/>
      <c r="X126" s="17"/>
      <c r="Y126" s="17"/>
      <c r="Z126" s="17"/>
      <c r="AA126" s="17"/>
      <c r="AB126" s="17"/>
      <c r="AC126" s="17"/>
    </row>
    <row r="127" ht="15.75" customHeight="1">
      <c r="A127" s="17"/>
      <c r="B127" s="17"/>
      <c r="C127" s="20"/>
      <c r="D127" s="17"/>
      <c r="E127" s="17"/>
      <c r="F127" s="17"/>
      <c r="K127" s="189"/>
      <c r="L127" s="17"/>
      <c r="N127" s="17"/>
      <c r="O127" s="17"/>
      <c r="P127" s="17"/>
      <c r="S127" s="17"/>
      <c r="U127" s="17"/>
      <c r="V127" s="17"/>
      <c r="W127" s="17"/>
      <c r="X127" s="17"/>
      <c r="Y127" s="17"/>
      <c r="Z127" s="17"/>
      <c r="AA127" s="17"/>
      <c r="AB127" s="17"/>
      <c r="AC127" s="17"/>
    </row>
    <row r="128" ht="15.75" customHeight="1">
      <c r="A128" s="17"/>
      <c r="B128" s="17"/>
      <c r="C128" s="20"/>
      <c r="D128" s="17"/>
      <c r="E128" s="17"/>
      <c r="F128" s="17"/>
      <c r="K128" s="189"/>
      <c r="L128" s="17"/>
      <c r="N128" s="17"/>
      <c r="O128" s="17"/>
      <c r="P128" s="17"/>
      <c r="S128" s="17"/>
      <c r="U128" s="17"/>
      <c r="V128" s="17"/>
      <c r="W128" s="17"/>
      <c r="X128" s="17"/>
      <c r="Y128" s="17"/>
      <c r="Z128" s="17"/>
      <c r="AA128" s="17"/>
      <c r="AB128" s="17"/>
      <c r="AC128" s="17"/>
    </row>
    <row r="129" ht="15.75" customHeight="1">
      <c r="A129" s="17"/>
      <c r="B129" s="17"/>
      <c r="C129" s="20"/>
      <c r="D129" s="17"/>
      <c r="E129" s="17"/>
      <c r="F129" s="17"/>
      <c r="K129" s="189"/>
      <c r="L129" s="17"/>
      <c r="N129" s="17"/>
      <c r="O129" s="17"/>
      <c r="P129" s="17"/>
      <c r="S129" s="17"/>
      <c r="U129" s="17"/>
      <c r="V129" s="17"/>
      <c r="W129" s="17"/>
      <c r="X129" s="17"/>
      <c r="Y129" s="17"/>
      <c r="Z129" s="17"/>
      <c r="AA129" s="17"/>
      <c r="AB129" s="17"/>
      <c r="AC129" s="17"/>
    </row>
    <row r="130" ht="15.75" customHeight="1">
      <c r="A130" s="17"/>
      <c r="B130" s="17"/>
      <c r="C130" s="20"/>
      <c r="D130" s="17"/>
      <c r="E130" s="17"/>
      <c r="F130" s="17"/>
      <c r="K130" s="189"/>
      <c r="L130" s="17"/>
      <c r="N130" s="17"/>
      <c r="O130" s="17"/>
      <c r="P130" s="17"/>
      <c r="S130" s="17"/>
      <c r="U130" s="17"/>
      <c r="V130" s="17"/>
      <c r="W130" s="17"/>
      <c r="X130" s="17"/>
      <c r="Y130" s="17"/>
      <c r="Z130" s="17"/>
      <c r="AA130" s="17"/>
      <c r="AB130" s="17"/>
      <c r="AC130" s="17"/>
    </row>
    <row r="131" ht="15.75" customHeight="1">
      <c r="A131" s="17"/>
      <c r="B131" s="17"/>
      <c r="C131" s="20"/>
      <c r="D131" s="17"/>
      <c r="E131" s="17"/>
      <c r="F131" s="17"/>
      <c r="K131" s="189"/>
      <c r="L131" s="17"/>
      <c r="N131" s="17"/>
      <c r="O131" s="17"/>
      <c r="P131" s="17"/>
      <c r="S131" s="17"/>
      <c r="U131" s="17"/>
      <c r="V131" s="17"/>
      <c r="W131" s="17"/>
      <c r="X131" s="17"/>
      <c r="Y131" s="17"/>
      <c r="Z131" s="17"/>
      <c r="AA131" s="17"/>
      <c r="AB131" s="17"/>
      <c r="AC131" s="17"/>
    </row>
    <row r="132" ht="15.75" customHeight="1">
      <c r="A132" s="17"/>
      <c r="B132" s="17"/>
      <c r="C132" s="20"/>
      <c r="D132" s="17"/>
      <c r="E132" s="17"/>
      <c r="F132" s="17"/>
      <c r="K132" s="189"/>
      <c r="L132" s="17"/>
      <c r="N132" s="17"/>
      <c r="O132" s="17"/>
      <c r="P132" s="17"/>
      <c r="S132" s="17"/>
      <c r="U132" s="17"/>
      <c r="V132" s="17"/>
      <c r="W132" s="17"/>
      <c r="X132" s="17"/>
      <c r="Y132" s="17"/>
      <c r="Z132" s="17"/>
      <c r="AA132" s="17"/>
      <c r="AB132" s="17"/>
      <c r="AC132" s="17"/>
    </row>
    <row r="133" ht="15.75" customHeight="1">
      <c r="A133" s="17"/>
      <c r="B133" s="17"/>
      <c r="C133" s="20"/>
      <c r="D133" s="17"/>
      <c r="E133" s="17"/>
      <c r="F133" s="17"/>
      <c r="K133" s="189"/>
      <c r="L133" s="17"/>
      <c r="N133" s="17"/>
      <c r="O133" s="17"/>
      <c r="P133" s="17"/>
      <c r="S133" s="17"/>
      <c r="U133" s="17"/>
      <c r="V133" s="17"/>
      <c r="W133" s="17"/>
      <c r="X133" s="17"/>
      <c r="Y133" s="17"/>
      <c r="Z133" s="17"/>
      <c r="AA133" s="17"/>
      <c r="AB133" s="17"/>
      <c r="AC133" s="17"/>
    </row>
    <row r="134" ht="15.75" customHeight="1">
      <c r="A134" s="17"/>
      <c r="B134" s="17"/>
      <c r="C134" s="20"/>
      <c r="D134" s="17"/>
      <c r="E134" s="17"/>
      <c r="F134" s="17"/>
      <c r="K134" s="189"/>
      <c r="L134" s="17"/>
      <c r="N134" s="17"/>
      <c r="O134" s="17"/>
      <c r="P134" s="17"/>
      <c r="S134" s="17"/>
      <c r="U134" s="17"/>
      <c r="V134" s="17"/>
      <c r="W134" s="17"/>
      <c r="X134" s="17"/>
      <c r="Y134" s="17"/>
      <c r="Z134" s="17"/>
      <c r="AA134" s="17"/>
      <c r="AB134" s="17"/>
      <c r="AC134" s="17"/>
    </row>
    <row r="135" ht="15.75" customHeight="1">
      <c r="A135" s="17"/>
      <c r="B135" s="17"/>
      <c r="C135" s="20"/>
      <c r="D135" s="17"/>
      <c r="E135" s="17"/>
      <c r="F135" s="17"/>
      <c r="K135" s="189"/>
      <c r="L135" s="17"/>
      <c r="N135" s="17"/>
      <c r="O135" s="17"/>
      <c r="P135" s="17"/>
      <c r="S135" s="17"/>
      <c r="U135" s="17"/>
      <c r="V135" s="17"/>
      <c r="W135" s="17"/>
      <c r="X135" s="17"/>
      <c r="Y135" s="17"/>
      <c r="Z135" s="17"/>
      <c r="AA135" s="17"/>
      <c r="AB135" s="17"/>
      <c r="AC135" s="17"/>
    </row>
    <row r="136" ht="15.75" customHeight="1">
      <c r="A136" s="17"/>
      <c r="B136" s="17"/>
      <c r="C136" s="20"/>
      <c r="D136" s="17"/>
      <c r="E136" s="17"/>
      <c r="F136" s="17"/>
      <c r="K136" s="189"/>
      <c r="L136" s="17"/>
      <c r="N136" s="17"/>
      <c r="O136" s="17"/>
      <c r="P136" s="17"/>
      <c r="S136" s="17"/>
      <c r="U136" s="17"/>
      <c r="V136" s="17"/>
      <c r="W136" s="17"/>
      <c r="X136" s="17"/>
      <c r="Y136" s="17"/>
      <c r="Z136" s="17"/>
      <c r="AA136" s="17"/>
      <c r="AB136" s="17"/>
      <c r="AC136" s="17"/>
    </row>
    <row r="137" ht="15.75" customHeight="1">
      <c r="A137" s="17"/>
      <c r="B137" s="17"/>
      <c r="C137" s="20"/>
      <c r="D137" s="17"/>
      <c r="E137" s="17"/>
      <c r="F137" s="17"/>
      <c r="K137" s="189"/>
      <c r="L137" s="17"/>
      <c r="M137" s="17"/>
      <c r="N137" s="17"/>
      <c r="O137" s="17"/>
      <c r="P137" s="17"/>
      <c r="S137" s="17"/>
      <c r="U137" s="17"/>
      <c r="V137" s="17"/>
      <c r="W137" s="17"/>
      <c r="X137" s="17"/>
      <c r="Y137" s="17"/>
      <c r="Z137" s="17"/>
      <c r="AA137" s="17"/>
      <c r="AB137" s="17"/>
      <c r="AC137" s="17"/>
    </row>
    <row r="138" ht="15.75" customHeight="1">
      <c r="A138" s="17"/>
      <c r="B138" s="17"/>
      <c r="C138" s="20"/>
      <c r="D138" s="17"/>
      <c r="E138" s="17"/>
      <c r="F138" s="17"/>
      <c r="K138" s="189"/>
      <c r="L138" s="17"/>
      <c r="M138" s="17"/>
      <c r="N138" s="17"/>
      <c r="O138" s="17"/>
      <c r="P138" s="17"/>
      <c r="S138" s="17"/>
      <c r="T138" s="17"/>
      <c r="U138" s="17"/>
      <c r="V138" s="17"/>
      <c r="W138" s="17"/>
      <c r="X138" s="17"/>
      <c r="Y138" s="17"/>
      <c r="Z138" s="17"/>
      <c r="AA138" s="17"/>
      <c r="AB138" s="17"/>
      <c r="AC138" s="17"/>
    </row>
    <row r="139" ht="15.75" customHeight="1">
      <c r="A139" s="17"/>
      <c r="B139" s="17"/>
      <c r="C139" s="20"/>
      <c r="D139" s="17"/>
      <c r="E139" s="17"/>
      <c r="F139" s="17"/>
      <c r="K139" s="189"/>
      <c r="L139" s="17"/>
      <c r="M139" s="17"/>
      <c r="N139" s="17"/>
      <c r="O139" s="17"/>
      <c r="P139" s="17"/>
      <c r="S139" s="17"/>
      <c r="T139" s="17"/>
      <c r="U139" s="17"/>
      <c r="V139" s="17"/>
      <c r="W139" s="17"/>
      <c r="X139" s="17"/>
      <c r="Y139" s="17"/>
      <c r="Z139" s="17"/>
      <c r="AA139" s="17"/>
      <c r="AB139" s="17"/>
      <c r="AC139" s="17"/>
    </row>
    <row r="140" ht="15.75" customHeight="1">
      <c r="A140" s="17"/>
      <c r="B140" s="17"/>
      <c r="C140" s="20"/>
      <c r="D140" s="17"/>
      <c r="E140" s="17"/>
      <c r="F140" s="17"/>
      <c r="K140" s="189"/>
      <c r="L140" s="17"/>
      <c r="M140" s="17"/>
      <c r="N140" s="17"/>
      <c r="O140" s="17"/>
      <c r="P140" s="17"/>
      <c r="S140" s="17"/>
      <c r="T140" s="17"/>
      <c r="U140" s="17"/>
      <c r="V140" s="17"/>
      <c r="W140" s="17"/>
      <c r="X140" s="17"/>
      <c r="Y140" s="17"/>
      <c r="Z140" s="17"/>
      <c r="AA140" s="17"/>
      <c r="AB140" s="17"/>
      <c r="AC140" s="17"/>
    </row>
    <row r="141" ht="15.75" customHeight="1">
      <c r="A141" s="17"/>
      <c r="B141" s="17"/>
      <c r="C141" s="20"/>
      <c r="D141" s="17"/>
      <c r="E141" s="17"/>
      <c r="F141" s="17"/>
      <c r="K141" s="189"/>
      <c r="L141" s="17"/>
      <c r="M141" s="17"/>
      <c r="N141" s="17"/>
      <c r="O141" s="17"/>
      <c r="P141" s="17"/>
      <c r="S141" s="17"/>
      <c r="T141" s="17"/>
      <c r="U141" s="17"/>
      <c r="V141" s="17"/>
      <c r="W141" s="17"/>
      <c r="X141" s="17"/>
      <c r="Y141" s="17"/>
      <c r="Z141" s="17"/>
      <c r="AA141" s="17"/>
      <c r="AB141" s="17"/>
      <c r="AC141" s="17"/>
    </row>
    <row r="142" ht="15.75" customHeight="1">
      <c r="A142" s="17"/>
      <c r="B142" s="17"/>
      <c r="C142" s="20"/>
      <c r="D142" s="17"/>
      <c r="E142" s="17"/>
      <c r="F142" s="17"/>
      <c r="K142" s="189"/>
      <c r="L142" s="17"/>
      <c r="M142" s="17"/>
      <c r="N142" s="17"/>
      <c r="O142" s="17"/>
      <c r="P142" s="17"/>
      <c r="S142" s="17"/>
      <c r="T142" s="17"/>
      <c r="U142" s="17"/>
      <c r="V142" s="17"/>
      <c r="W142" s="17"/>
      <c r="X142" s="17"/>
      <c r="Y142" s="17"/>
      <c r="Z142" s="17"/>
      <c r="AA142" s="17"/>
      <c r="AB142" s="17"/>
      <c r="AC142" s="17"/>
    </row>
    <row r="143" ht="15.75" customHeight="1">
      <c r="A143" s="17"/>
      <c r="B143" s="17"/>
      <c r="C143" s="20"/>
      <c r="D143" s="17"/>
      <c r="E143" s="17"/>
      <c r="F143" s="17"/>
      <c r="K143" s="189"/>
      <c r="L143" s="17"/>
      <c r="M143" s="17"/>
      <c r="N143" s="17"/>
      <c r="O143" s="17"/>
      <c r="P143" s="17"/>
      <c r="S143" s="17"/>
      <c r="T143" s="17"/>
      <c r="U143" s="17"/>
      <c r="V143" s="17"/>
      <c r="W143" s="17"/>
      <c r="X143" s="17"/>
      <c r="Y143" s="17"/>
      <c r="Z143" s="17"/>
      <c r="AA143" s="17"/>
      <c r="AB143" s="17"/>
      <c r="AC143" s="17"/>
    </row>
    <row r="144" ht="15.75" customHeight="1">
      <c r="A144" s="17"/>
      <c r="B144" s="17"/>
      <c r="C144" s="20"/>
      <c r="D144" s="17"/>
      <c r="E144" s="17"/>
      <c r="F144" s="17"/>
      <c r="K144" s="189"/>
      <c r="L144" s="17"/>
      <c r="M144" s="17"/>
      <c r="N144" s="17"/>
      <c r="O144" s="17"/>
      <c r="P144" s="17"/>
      <c r="S144" s="17"/>
      <c r="T144" s="17"/>
      <c r="U144" s="17"/>
      <c r="V144" s="17"/>
      <c r="W144" s="17"/>
      <c r="X144" s="17"/>
      <c r="Y144" s="17"/>
      <c r="Z144" s="17"/>
      <c r="AA144" s="17"/>
      <c r="AB144" s="17"/>
      <c r="AC144" s="17"/>
    </row>
    <row r="145" ht="15.75" customHeight="1">
      <c r="A145" s="17"/>
      <c r="B145" s="17"/>
      <c r="C145" s="20"/>
      <c r="D145" s="17"/>
      <c r="E145" s="17"/>
      <c r="F145" s="17"/>
      <c r="K145" s="189"/>
      <c r="L145" s="17"/>
      <c r="M145" s="17"/>
      <c r="N145" s="17"/>
      <c r="O145" s="17"/>
      <c r="P145" s="17"/>
      <c r="S145" s="17"/>
      <c r="T145" s="17"/>
      <c r="U145" s="17"/>
      <c r="V145" s="17"/>
      <c r="W145" s="17"/>
      <c r="X145" s="17"/>
      <c r="Y145" s="17"/>
      <c r="Z145" s="17"/>
      <c r="AA145" s="17"/>
      <c r="AB145" s="17"/>
      <c r="AC145" s="17"/>
    </row>
    <row r="146" ht="15.75" customHeight="1">
      <c r="A146" s="17"/>
      <c r="B146" s="17"/>
      <c r="C146" s="20"/>
      <c r="D146" s="17"/>
      <c r="E146" s="17"/>
      <c r="F146" s="17"/>
      <c r="K146" s="189"/>
      <c r="L146" s="17"/>
      <c r="M146" s="17"/>
      <c r="N146" s="17"/>
      <c r="O146" s="17"/>
      <c r="P146" s="17"/>
      <c r="Q146" s="17"/>
      <c r="R146" s="17"/>
      <c r="S146" s="17"/>
      <c r="T146" s="17"/>
      <c r="U146" s="17"/>
      <c r="V146" s="17"/>
      <c r="W146" s="17"/>
      <c r="X146" s="17"/>
      <c r="Y146" s="17"/>
      <c r="Z146" s="17"/>
      <c r="AA146" s="17"/>
      <c r="AB146" s="17"/>
      <c r="AC146" s="17"/>
    </row>
    <row r="147" ht="15.75" customHeight="1">
      <c r="A147" s="17"/>
      <c r="B147" s="17"/>
      <c r="C147" s="20"/>
      <c r="D147" s="17"/>
      <c r="E147" s="17"/>
      <c r="F147" s="17"/>
      <c r="K147" s="189"/>
      <c r="L147" s="17"/>
      <c r="M147" s="17"/>
      <c r="N147" s="17"/>
      <c r="O147" s="17"/>
      <c r="P147" s="17"/>
      <c r="Q147" s="17"/>
      <c r="R147" s="17"/>
      <c r="S147" s="17"/>
      <c r="T147" s="17"/>
      <c r="U147" s="17"/>
      <c r="V147" s="17"/>
      <c r="W147" s="17"/>
      <c r="X147" s="17"/>
      <c r="Y147" s="17"/>
      <c r="Z147" s="17"/>
      <c r="AA147" s="17"/>
      <c r="AB147" s="17"/>
      <c r="AC147" s="17"/>
    </row>
    <row r="148" ht="15.75" customHeight="1">
      <c r="A148" s="17"/>
      <c r="B148" s="17"/>
      <c r="C148" s="20"/>
      <c r="D148" s="17"/>
      <c r="E148" s="17"/>
      <c r="F148" s="17"/>
      <c r="K148" s="189"/>
      <c r="L148" s="17"/>
      <c r="M148" s="17"/>
      <c r="N148" s="17"/>
      <c r="O148" s="17"/>
      <c r="P148" s="17"/>
      <c r="Q148" s="17"/>
      <c r="R148" s="17"/>
      <c r="S148" s="17"/>
      <c r="T148" s="17"/>
      <c r="U148" s="17"/>
      <c r="V148" s="17"/>
      <c r="W148" s="17"/>
      <c r="X148" s="17"/>
      <c r="Y148" s="17"/>
      <c r="Z148" s="17"/>
      <c r="AA148" s="17"/>
      <c r="AB148" s="17"/>
      <c r="AC148" s="17"/>
    </row>
    <row r="149" ht="15.75" customHeight="1">
      <c r="A149" s="17"/>
      <c r="B149" s="17"/>
      <c r="C149" s="20"/>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ht="15.75" customHeight="1">
      <c r="A150" s="17"/>
      <c r="B150" s="17"/>
      <c r="C150" s="20"/>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ht="15.75" customHeight="1">
      <c r="A151" s="17"/>
      <c r="B151" s="17"/>
      <c r="C151" s="20"/>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ht="15.75" customHeight="1">
      <c r="A152" s="17"/>
      <c r="B152" s="17"/>
      <c r="C152" s="20"/>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ht="15.75" customHeight="1">
      <c r="A153" s="17"/>
      <c r="B153" s="17"/>
      <c r="C153" s="20"/>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ht="15.75" customHeight="1">
      <c r="A154" s="17"/>
      <c r="B154" s="17"/>
      <c r="C154" s="20"/>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ht="15.75" customHeight="1">
      <c r="A155" s="17"/>
      <c r="B155" s="17"/>
      <c r="C155" s="20"/>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ht="15.75" customHeight="1">
      <c r="A156" s="17"/>
      <c r="B156" s="17"/>
      <c r="C156" s="20"/>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ht="15.75" customHeight="1">
      <c r="A157" s="17"/>
      <c r="B157" s="17"/>
      <c r="C157" s="20"/>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ht="15.75" customHeight="1">
      <c r="A158" s="17"/>
      <c r="B158" s="17"/>
      <c r="C158" s="20"/>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ht="15.75" customHeight="1">
      <c r="A159" s="17"/>
      <c r="B159" s="17"/>
      <c r="C159" s="20"/>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ht="15.75" customHeight="1">
      <c r="A160" s="17"/>
      <c r="B160" s="17"/>
      <c r="C160" s="20"/>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ht="15.75" customHeight="1">
      <c r="A161" s="17"/>
      <c r="B161" s="17"/>
      <c r="C161" s="20"/>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ht="15.75" customHeight="1">
      <c r="A162" s="17"/>
      <c r="B162" s="17"/>
      <c r="C162" s="20"/>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ht="15.75" customHeight="1">
      <c r="A163" s="17"/>
      <c r="B163" s="17"/>
      <c r="C163" s="20"/>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ht="15.75" customHeight="1">
      <c r="A164" s="17"/>
      <c r="B164" s="17"/>
      <c r="C164" s="20"/>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ht="15.75" customHeight="1">
      <c r="A165" s="17"/>
      <c r="B165" s="17"/>
      <c r="C165" s="20"/>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ht="15.75" customHeight="1">
      <c r="A166" s="17"/>
      <c r="B166" s="17"/>
      <c r="C166" s="20"/>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ht="15.75" customHeight="1">
      <c r="A167" s="17"/>
      <c r="B167" s="17"/>
      <c r="C167" s="20"/>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ht="15.75" customHeight="1">
      <c r="A168" s="17"/>
      <c r="B168" s="17"/>
      <c r="C168" s="20"/>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ht="15.75" customHeight="1">
      <c r="A169" s="17"/>
      <c r="B169" s="17"/>
      <c r="C169" s="20"/>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ht="15.75" customHeight="1">
      <c r="A170" s="17"/>
      <c r="B170" s="17"/>
      <c r="C170" s="20"/>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ht="15.75" customHeight="1">
      <c r="A171" s="17"/>
      <c r="B171" s="17"/>
      <c r="C171" s="20"/>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ht="15.75" customHeight="1">
      <c r="A172" s="17"/>
      <c r="B172" s="17"/>
      <c r="C172" s="20"/>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ht="15.75" customHeight="1">
      <c r="A173" s="17"/>
      <c r="B173" s="17"/>
      <c r="C173" s="20"/>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ht="15.75" customHeight="1">
      <c r="A174" s="17"/>
      <c r="B174" s="17"/>
      <c r="C174" s="20"/>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ht="15.75" customHeight="1">
      <c r="A175" s="17"/>
      <c r="B175" s="17"/>
      <c r="C175" s="20"/>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ht="15.75" customHeight="1">
      <c r="A176" s="17"/>
      <c r="B176" s="17"/>
      <c r="C176" s="20"/>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ht="15.75" customHeight="1">
      <c r="A177" s="17"/>
      <c r="B177" s="17"/>
      <c r="C177" s="20"/>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ht="15.75" customHeight="1">
      <c r="A178" s="17"/>
      <c r="B178" s="17"/>
      <c r="C178" s="20"/>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ht="15.75" customHeight="1">
      <c r="A179" s="17"/>
      <c r="B179" s="17"/>
      <c r="C179" s="20"/>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ht="15.75" customHeight="1">
      <c r="A180" s="17"/>
      <c r="B180" s="17"/>
      <c r="C180" s="20"/>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ht="15.75" customHeight="1">
      <c r="A181" s="17"/>
      <c r="B181" s="17"/>
      <c r="C181" s="20"/>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ht="15.75" customHeight="1">
      <c r="A182" s="17"/>
      <c r="B182" s="17"/>
      <c r="C182" s="20"/>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ht="15.75" customHeight="1">
      <c r="A183" s="17"/>
      <c r="B183" s="17"/>
      <c r="C183" s="20"/>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ht="15.75" customHeight="1">
      <c r="A184" s="17"/>
      <c r="B184" s="17"/>
      <c r="C184" s="20"/>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ht="15.75" customHeight="1">
      <c r="A185" s="17"/>
      <c r="B185" s="17"/>
      <c r="C185" s="20"/>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ht="15.75" customHeight="1">
      <c r="A186" s="17"/>
      <c r="B186" s="17"/>
      <c r="C186" s="20"/>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ht="15.75" customHeight="1">
      <c r="A187" s="17"/>
      <c r="B187" s="17"/>
      <c r="C187" s="20"/>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ht="15.75" customHeight="1">
      <c r="A188" s="17"/>
      <c r="B188" s="17"/>
      <c r="C188" s="20"/>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ht="15.75" customHeight="1">
      <c r="A189" s="17"/>
      <c r="B189" s="17"/>
      <c r="C189" s="20"/>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ht="15.75" customHeight="1">
      <c r="A190" s="17"/>
      <c r="B190" s="17"/>
      <c r="C190" s="20"/>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ht="15.75" customHeight="1">
      <c r="A191" s="17"/>
      <c r="B191" s="17"/>
      <c r="C191" s="20"/>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ht="15.75" customHeight="1">
      <c r="A192" s="17"/>
      <c r="B192" s="17"/>
      <c r="C192" s="20"/>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ht="15.75" customHeight="1">
      <c r="A193" s="17"/>
      <c r="B193" s="17"/>
      <c r="C193" s="20"/>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ht="15.75" customHeight="1">
      <c r="A194" s="17"/>
      <c r="B194" s="17"/>
      <c r="C194" s="20"/>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ht="15.75" customHeight="1">
      <c r="A195" s="17"/>
      <c r="B195" s="17"/>
      <c r="C195" s="20"/>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ht="15.75" customHeight="1">
      <c r="A196" s="17"/>
      <c r="B196" s="17"/>
      <c r="C196" s="20"/>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ht="15.75" customHeight="1">
      <c r="A197" s="17"/>
      <c r="B197" s="17"/>
      <c r="C197" s="20"/>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ht="15.75" customHeight="1">
      <c r="A198" s="17"/>
      <c r="B198" s="17"/>
      <c r="C198" s="20"/>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ht="15.75" customHeight="1">
      <c r="A199" s="17"/>
      <c r="B199" s="17"/>
      <c r="C199" s="20"/>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ht="15.75" customHeight="1">
      <c r="A200" s="17"/>
      <c r="B200" s="17"/>
      <c r="C200" s="20"/>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ht="15.75" customHeight="1">
      <c r="A201" s="17"/>
      <c r="B201" s="17"/>
      <c r="C201" s="20"/>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ht="15.75" customHeight="1">
      <c r="A202" s="17"/>
      <c r="B202" s="17"/>
      <c r="C202" s="20"/>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ht="15.75" customHeight="1">
      <c r="A203" s="17"/>
      <c r="B203" s="17"/>
      <c r="C203" s="20"/>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ht="15.75" customHeight="1">
      <c r="A204" s="17"/>
      <c r="B204" s="17"/>
      <c r="C204" s="20"/>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ht="15.75" customHeight="1">
      <c r="A205" s="17"/>
      <c r="B205" s="17"/>
      <c r="C205" s="20"/>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ht="15.75" customHeight="1">
      <c r="A206" s="17"/>
      <c r="B206" s="17"/>
      <c r="C206" s="20"/>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ht="15.75" customHeight="1">
      <c r="A207" s="17"/>
      <c r="B207" s="17"/>
      <c r="C207" s="20"/>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ht="15.75" customHeight="1">
      <c r="A208" s="17"/>
      <c r="B208" s="17"/>
      <c r="C208" s="20"/>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ht="15.75" customHeight="1">
      <c r="A209" s="17"/>
      <c r="B209" s="17"/>
      <c r="C209" s="20"/>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ht="15.75" customHeight="1">
      <c r="A210" s="17"/>
      <c r="B210" s="17"/>
      <c r="C210" s="20"/>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ht="15.75" customHeight="1">
      <c r="A211" s="17"/>
      <c r="B211" s="17"/>
      <c r="C211" s="20"/>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ht="15.75" customHeight="1">
      <c r="A212" s="17"/>
      <c r="B212" s="17"/>
      <c r="C212" s="20"/>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ht="15.75" customHeight="1">
      <c r="A213" s="17"/>
      <c r="B213" s="17"/>
      <c r="C213" s="20"/>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ht="15.75" customHeight="1">
      <c r="A214" s="17"/>
      <c r="B214" s="17"/>
      <c r="C214" s="20"/>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ht="15.75" customHeight="1">
      <c r="A215" s="17"/>
      <c r="B215" s="17"/>
      <c r="C215" s="20"/>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ht="15.75" customHeight="1">
      <c r="A216" s="17"/>
      <c r="B216" s="17"/>
      <c r="C216" s="20"/>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ht="15.75" customHeight="1">
      <c r="A217" s="17"/>
      <c r="B217" s="17"/>
      <c r="C217" s="20"/>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ht="15.75" customHeight="1">
      <c r="A218" s="17"/>
      <c r="B218" s="17"/>
      <c r="C218" s="20"/>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ht="15.75" customHeight="1">
      <c r="A219" s="17"/>
      <c r="B219" s="17"/>
      <c r="C219" s="20"/>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ht="15.75" customHeight="1">
      <c r="A220" s="17"/>
      <c r="B220" s="17"/>
      <c r="C220" s="20"/>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ht="15.75" customHeight="1">
      <c r="A221" s="17"/>
      <c r="B221" s="17"/>
      <c r="C221" s="20"/>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ht="15.75" customHeight="1">
      <c r="A222" s="17"/>
      <c r="B222" s="17"/>
      <c r="C222" s="20"/>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ht="15.75" customHeight="1">
      <c r="A223" s="17"/>
      <c r="B223" s="17"/>
      <c r="C223" s="20"/>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ht="15.75" customHeight="1">
      <c r="A224" s="17"/>
      <c r="B224" s="17"/>
      <c r="C224" s="20"/>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ht="15.75" customHeight="1">
      <c r="A225" s="17"/>
      <c r="B225" s="17"/>
      <c r="C225" s="20"/>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ht="15.75" customHeight="1">
      <c r="A226" s="17"/>
      <c r="B226" s="17"/>
      <c r="C226" s="20"/>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ht="15.75" customHeight="1">
      <c r="A227" s="17"/>
      <c r="B227" s="17"/>
      <c r="C227" s="20"/>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ht="15.75" customHeight="1">
      <c r="A228" s="17"/>
      <c r="B228" s="17"/>
      <c r="C228" s="20"/>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ht="15.75" customHeight="1">
      <c r="A229" s="17"/>
      <c r="B229" s="17"/>
      <c r="C229" s="20"/>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ht="15.75" customHeight="1">
      <c r="A230" s="17"/>
      <c r="B230" s="17"/>
      <c r="C230" s="20"/>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ht="15.75" customHeight="1">
      <c r="A231" s="17"/>
      <c r="B231" s="17"/>
      <c r="C231" s="20"/>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ht="15.75" customHeight="1">
      <c r="A232" s="17"/>
      <c r="B232" s="17"/>
      <c r="C232" s="20"/>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ht="15.75" customHeight="1">
      <c r="A233" s="17"/>
      <c r="B233" s="17"/>
      <c r="C233" s="20"/>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ht="15.75" customHeight="1">
      <c r="A234" s="17"/>
      <c r="B234" s="17"/>
      <c r="C234" s="20"/>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ht="15.75" customHeight="1">
      <c r="A235" s="17"/>
      <c r="B235" s="17"/>
      <c r="C235" s="20"/>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ht="15.75" customHeight="1">
      <c r="A236" s="17"/>
      <c r="B236" s="17"/>
      <c r="C236" s="20"/>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ht="15.75" customHeight="1">
      <c r="A237" s="17"/>
      <c r="B237" s="17"/>
      <c r="C237" s="20"/>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ht="15.75" customHeight="1">
      <c r="A238" s="17"/>
      <c r="B238" s="17"/>
      <c r="C238" s="20"/>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ht="15.75" customHeight="1">
      <c r="A239" s="17"/>
      <c r="B239" s="17"/>
      <c r="C239" s="20"/>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ht="15.75" customHeight="1">
      <c r="A240" s="17"/>
      <c r="B240" s="17"/>
      <c r="C240" s="20"/>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ht="15.75" customHeight="1">
      <c r="A241" s="17"/>
      <c r="B241" s="17"/>
      <c r="C241" s="20"/>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ht="15.75" customHeight="1">
      <c r="A242" s="17"/>
      <c r="B242" s="17"/>
      <c r="C242" s="20"/>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ht="15.75" customHeight="1">
      <c r="A243" s="17"/>
      <c r="B243" s="17"/>
      <c r="C243" s="20"/>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ht="15.75" customHeight="1">
      <c r="A244" s="17"/>
      <c r="B244" s="17"/>
      <c r="C244" s="20"/>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ht="15.75" customHeight="1">
      <c r="A245" s="17"/>
      <c r="B245" s="17"/>
      <c r="C245" s="20"/>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ht="15.75" customHeight="1">
      <c r="A246" s="17"/>
      <c r="B246" s="17"/>
      <c r="C246" s="20"/>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ht="15.75" customHeight="1">
      <c r="A247" s="17"/>
      <c r="B247" s="17"/>
      <c r="C247" s="20"/>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ht="15.75" customHeight="1">
      <c r="A248" s="17"/>
      <c r="B248" s="17"/>
      <c r="C248" s="20"/>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ht="15.75" customHeight="1">
      <c r="A249" s="17"/>
      <c r="B249" s="17"/>
      <c r="C249" s="20"/>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ht="15.75" customHeight="1">
      <c r="A250" s="17"/>
      <c r="B250" s="17"/>
      <c r="C250" s="20"/>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ht="15.75" customHeight="1">
      <c r="A251" s="17"/>
      <c r="B251" s="17"/>
      <c r="C251" s="20"/>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ht="15.75" customHeight="1">
      <c r="A252" s="17"/>
      <c r="B252" s="17"/>
      <c r="C252" s="20"/>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ht="15.75" customHeight="1">
      <c r="A253" s="17"/>
      <c r="B253" s="17"/>
      <c r="C253" s="20"/>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ht="15.75" customHeight="1">
      <c r="A254" s="17"/>
      <c r="B254" s="17"/>
      <c r="C254" s="20"/>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ht="15.75" customHeight="1">
      <c r="A255" s="17"/>
      <c r="B255" s="17"/>
      <c r="C255" s="20"/>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ht="15.75" customHeight="1">
      <c r="A256" s="17"/>
      <c r="B256" s="17"/>
      <c r="C256" s="20"/>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ht="15.75" customHeight="1">
      <c r="A257" s="17"/>
      <c r="B257" s="17"/>
      <c r="C257" s="20"/>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ht="15.75" customHeight="1">
      <c r="A258" s="17"/>
      <c r="B258" s="17"/>
      <c r="C258" s="20"/>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ht="15.75" customHeight="1">
      <c r="A259" s="17"/>
      <c r="B259" s="17"/>
      <c r="C259" s="20"/>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ht="15.75" customHeight="1">
      <c r="A260" s="17"/>
      <c r="B260" s="17"/>
      <c r="C260" s="20"/>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ht="15.75" customHeight="1">
      <c r="A261" s="17"/>
      <c r="B261" s="17"/>
      <c r="C261" s="20"/>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ht="15.75" customHeight="1">
      <c r="A262" s="17"/>
      <c r="B262" s="17"/>
      <c r="C262" s="20"/>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ht="15.75" customHeight="1">
      <c r="A263" s="17"/>
      <c r="B263" s="17"/>
      <c r="C263" s="20"/>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ht="15.75" customHeight="1">
      <c r="A264" s="17"/>
      <c r="B264" s="17"/>
      <c r="C264" s="20"/>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ht="15.75" customHeight="1">
      <c r="A265" s="17"/>
      <c r="B265" s="17"/>
      <c r="C265" s="20"/>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ht="15.75" customHeight="1">
      <c r="A266" s="17"/>
      <c r="B266" s="17"/>
      <c r="C266" s="20"/>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ht="15.75" customHeight="1">
      <c r="A267" s="17"/>
      <c r="B267" s="17"/>
      <c r="C267" s="20"/>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ht="15.75" customHeight="1">
      <c r="A268" s="17"/>
      <c r="B268" s="17"/>
      <c r="C268" s="20"/>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ht="15.75" customHeight="1">
      <c r="A269" s="17"/>
      <c r="B269" s="17"/>
      <c r="C269" s="20"/>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ht="15.75" customHeight="1">
      <c r="A270" s="17"/>
      <c r="B270" s="17"/>
      <c r="C270" s="20"/>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ht="15.75" customHeight="1">
      <c r="A271" s="17"/>
      <c r="B271" s="17"/>
      <c r="C271" s="20"/>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ht="15.75" customHeight="1">
      <c r="A272" s="17"/>
      <c r="B272" s="17"/>
      <c r="C272" s="20"/>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ht="15.75" customHeight="1">
      <c r="A273" s="17"/>
      <c r="B273" s="17"/>
      <c r="C273" s="20"/>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ht="15.75" customHeight="1">
      <c r="A274" s="17"/>
      <c r="B274" s="17"/>
      <c r="C274" s="20"/>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ht="15.75" customHeight="1">
      <c r="A275" s="17"/>
      <c r="B275" s="17"/>
      <c r="C275" s="20"/>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ht="15.75" customHeight="1">
      <c r="A276" s="17"/>
      <c r="B276" s="17"/>
      <c r="C276" s="20"/>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ht="15.75" customHeight="1">
      <c r="A277" s="17"/>
      <c r="B277" s="17"/>
      <c r="C277" s="20"/>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ht="15.75" customHeight="1">
      <c r="A278" s="17"/>
      <c r="B278" s="17"/>
      <c r="C278" s="20"/>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ht="15.75" customHeight="1">
      <c r="A279" s="17"/>
      <c r="B279" s="17"/>
      <c r="C279" s="20"/>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ht="15.75" customHeight="1">
      <c r="A280" s="17"/>
      <c r="B280" s="17"/>
      <c r="C280" s="20"/>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ht="15.75" customHeight="1">
      <c r="A281" s="17"/>
      <c r="B281" s="17"/>
      <c r="C281" s="20"/>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ht="15.75" customHeight="1">
      <c r="A282" s="17"/>
      <c r="B282" s="17"/>
      <c r="C282" s="20"/>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ht="15.75" customHeight="1">
      <c r="A283" s="17"/>
      <c r="B283" s="17"/>
      <c r="C283" s="20"/>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ht="15.75" customHeight="1">
      <c r="A284" s="17"/>
      <c r="B284" s="17"/>
      <c r="C284" s="20"/>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ht="15.75" customHeight="1">
      <c r="A285" s="17"/>
      <c r="B285" s="17"/>
      <c r="C285" s="20"/>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ht="15.75" customHeight="1">
      <c r="A286" s="17"/>
      <c r="B286" s="17"/>
      <c r="C286" s="20"/>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ht="15.75" customHeight="1">
      <c r="A287" s="17"/>
      <c r="B287" s="17"/>
      <c r="C287" s="20"/>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ht="15.75" customHeight="1">
      <c r="A288" s="17"/>
      <c r="B288" s="17"/>
      <c r="C288" s="20"/>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ht="15.75" customHeight="1">
      <c r="A289" s="17"/>
      <c r="B289" s="17"/>
      <c r="C289" s="20"/>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ht="15.75" customHeight="1">
      <c r="A290" s="17"/>
      <c r="B290" s="17"/>
      <c r="C290" s="20"/>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ht="15.75" customHeight="1">
      <c r="A291" s="17"/>
      <c r="B291" s="17"/>
      <c r="C291" s="20"/>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ht="15.75" customHeight="1">
      <c r="A292" s="17"/>
      <c r="B292" s="17"/>
      <c r="C292" s="20"/>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ht="15.75" customHeight="1">
      <c r="A293" s="17"/>
      <c r="B293" s="17"/>
      <c r="C293" s="20"/>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ht="15.75" customHeight="1">
      <c r="A294" s="17"/>
      <c r="B294" s="17"/>
      <c r="C294" s="20"/>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ht="15.75" customHeight="1">
      <c r="A295" s="17"/>
      <c r="B295" s="17"/>
      <c r="C295" s="20"/>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ht="15.75" customHeight="1">
      <c r="A296" s="17"/>
      <c r="B296" s="17"/>
      <c r="C296" s="20"/>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ht="15.75" customHeight="1">
      <c r="A297" s="17"/>
      <c r="B297" s="17"/>
      <c r="C297" s="20"/>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ht="15.75" customHeight="1">
      <c r="A298" s="17"/>
      <c r="B298" s="17"/>
      <c r="C298" s="20"/>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ht="15.75" customHeight="1">
      <c r="A299" s="17"/>
      <c r="B299" s="17"/>
      <c r="C299" s="20"/>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ht="15.75" customHeight="1">
      <c r="A300" s="17"/>
      <c r="B300" s="17"/>
      <c r="C300" s="20"/>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ht="15.75" customHeight="1">
      <c r="A301" s="17"/>
      <c r="B301" s="17"/>
      <c r="C301" s="20"/>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ht="15.75" customHeight="1">
      <c r="A302" s="17"/>
      <c r="B302" s="17"/>
      <c r="C302" s="20"/>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ht="15.75" customHeight="1">
      <c r="A303" s="17"/>
      <c r="B303" s="17"/>
      <c r="C303" s="20"/>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ht="15.75" customHeight="1">
      <c r="A304" s="17"/>
      <c r="B304" s="17"/>
      <c r="C304" s="20"/>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ht="15.75" customHeight="1">
      <c r="A305" s="17"/>
      <c r="B305" s="17"/>
      <c r="C305" s="20"/>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ht="15.75" customHeight="1">
      <c r="A306" s="17"/>
      <c r="B306" s="17"/>
      <c r="C306" s="20"/>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ht="15.75" customHeight="1">
      <c r="A307" s="17"/>
      <c r="B307" s="17"/>
      <c r="C307" s="20"/>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ht="15.75" customHeight="1">
      <c r="A308" s="17"/>
      <c r="B308" s="17"/>
      <c r="C308" s="20"/>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ht="15.75" customHeight="1">
      <c r="A309" s="17"/>
      <c r="B309" s="17"/>
      <c r="C309" s="20"/>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ht="15.75" customHeight="1">
      <c r="A310" s="17"/>
      <c r="B310" s="17"/>
      <c r="C310" s="20"/>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ht="15.75" customHeight="1">
      <c r="A311" s="17"/>
      <c r="B311" s="17"/>
      <c r="C311" s="20"/>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ht="15.75" customHeight="1">
      <c r="A312" s="17"/>
      <c r="B312" s="17"/>
      <c r="C312" s="20"/>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ht="15.75" customHeight="1">
      <c r="A313" s="17"/>
      <c r="B313" s="17"/>
      <c r="C313" s="20"/>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ht="15.75" customHeight="1">
      <c r="A314" s="17"/>
      <c r="B314" s="17"/>
      <c r="C314" s="20"/>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ht="15.75" customHeight="1">
      <c r="A315" s="17"/>
      <c r="B315" s="17"/>
      <c r="C315" s="20"/>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ht="15.75" customHeight="1">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c r="AA316" s="189"/>
      <c r="AB316" s="189"/>
      <c r="AC316" s="189"/>
    </row>
    <row r="317" ht="15.75" customHeight="1">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c r="AA317" s="189"/>
      <c r="AB317" s="189"/>
      <c r="AC317" s="189"/>
    </row>
    <row r="318" ht="15.75" customHeight="1">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row>
    <row r="319" ht="15.75" customHeight="1">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c r="AA319" s="189"/>
      <c r="AB319" s="189"/>
      <c r="AC319" s="189"/>
    </row>
    <row r="320" ht="15.75" customHeight="1">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c r="AA320" s="189"/>
      <c r="AB320" s="189"/>
      <c r="AC320" s="189"/>
    </row>
    <row r="321" ht="15.75" customHeight="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c r="AA321" s="189"/>
      <c r="AB321" s="189"/>
      <c r="AC321" s="189"/>
    </row>
    <row r="322" ht="15.75" customHeight="1">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c r="AA322" s="189"/>
      <c r="AB322" s="189"/>
      <c r="AC322" s="189"/>
    </row>
    <row r="323" ht="15.75" customHeight="1">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c r="AA323" s="189"/>
      <c r="AB323" s="189"/>
      <c r="AC323" s="189"/>
    </row>
    <row r="324" ht="15.75" customHeight="1">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c r="AA324" s="189"/>
      <c r="AB324" s="189"/>
      <c r="AC324" s="189"/>
    </row>
    <row r="325" ht="15.75" customHeight="1">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c r="AA325" s="189"/>
      <c r="AB325" s="189"/>
      <c r="AC325" s="189"/>
    </row>
    <row r="326" ht="15.75" customHeight="1">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c r="AA326" s="189"/>
      <c r="AB326" s="189"/>
      <c r="AC326" s="189"/>
    </row>
    <row r="327" ht="15.75" customHeight="1">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c r="AA327" s="189"/>
      <c r="AB327" s="189"/>
      <c r="AC327" s="189"/>
    </row>
    <row r="328" ht="15.75" customHeight="1">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c r="AA328" s="189"/>
      <c r="AB328" s="189"/>
      <c r="AC328" s="189"/>
    </row>
    <row r="329" ht="15.75" customHeight="1">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c r="AA329" s="189"/>
      <c r="AB329" s="189"/>
      <c r="AC329" s="189"/>
    </row>
    <row r="330" ht="15.75" customHeight="1">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c r="AA330" s="189"/>
      <c r="AB330" s="189"/>
      <c r="AC330" s="189"/>
    </row>
    <row r="331" ht="15.75" customHeight="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c r="AA331" s="189"/>
      <c r="AB331" s="189"/>
      <c r="AC331" s="189"/>
    </row>
    <row r="332" ht="15.75" customHeight="1">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c r="AA332" s="189"/>
      <c r="AB332" s="189"/>
      <c r="AC332" s="189"/>
    </row>
    <row r="333" ht="15.75" customHeight="1">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c r="AA333" s="189"/>
      <c r="AB333" s="189"/>
      <c r="AC333" s="189"/>
    </row>
    <row r="334" ht="15.75" customHeight="1">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c r="AA334" s="189"/>
      <c r="AB334" s="189"/>
      <c r="AC334" s="189"/>
    </row>
    <row r="335" ht="15.75" customHeight="1">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c r="AA335" s="189"/>
      <c r="AB335" s="189"/>
      <c r="AC335" s="189"/>
    </row>
    <row r="336" ht="15.75" customHeight="1">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c r="AA336" s="189"/>
      <c r="AB336" s="189"/>
      <c r="AC336" s="189"/>
    </row>
    <row r="337" ht="15.75" customHeight="1">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c r="AA337" s="189"/>
      <c r="AB337" s="189"/>
      <c r="AC337" s="189"/>
    </row>
    <row r="338" ht="15.75" customHeight="1">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c r="AA338" s="189"/>
      <c r="AB338" s="189"/>
      <c r="AC338" s="189"/>
    </row>
    <row r="339" ht="15.75" customHeight="1">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c r="AA339" s="189"/>
      <c r="AB339" s="189"/>
      <c r="AC339" s="189"/>
    </row>
    <row r="340" ht="15.75" customHeight="1">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c r="AA340" s="189"/>
      <c r="AB340" s="189"/>
      <c r="AC340" s="189"/>
    </row>
    <row r="341" ht="15.75" customHeight="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c r="AA341" s="189"/>
      <c r="AB341" s="189"/>
      <c r="AC341" s="189"/>
    </row>
    <row r="342" ht="15.75" customHeight="1">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c r="AA342" s="189"/>
      <c r="AB342" s="189"/>
      <c r="AC342" s="189"/>
    </row>
    <row r="343" ht="15.75" customHeight="1">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c r="AA343" s="189"/>
      <c r="AB343" s="189"/>
      <c r="AC343" s="189"/>
    </row>
    <row r="344" ht="15.75" customHeight="1">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c r="AA344" s="189"/>
      <c r="AB344" s="189"/>
      <c r="AC344" s="189"/>
    </row>
    <row r="345" ht="15.75" customHeight="1">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c r="AA345" s="189"/>
      <c r="AB345" s="189"/>
      <c r="AC345" s="189"/>
    </row>
    <row r="346" ht="15.75" customHeight="1">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c r="AA346" s="189"/>
      <c r="AB346" s="189"/>
      <c r="AC346" s="189"/>
    </row>
    <row r="347" ht="15.75" customHeight="1">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c r="AA347" s="189"/>
      <c r="AB347" s="189"/>
      <c r="AC347" s="189"/>
    </row>
    <row r="348" ht="15.75" customHeight="1">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c r="AA348" s="189"/>
      <c r="AB348" s="189"/>
      <c r="AC348" s="189"/>
    </row>
    <row r="349" ht="15.75" customHeight="1">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c r="AA349" s="189"/>
      <c r="AB349" s="189"/>
      <c r="AC349" s="189"/>
    </row>
    <row r="350" ht="15.75" customHeight="1">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c r="AA350" s="189"/>
      <c r="AB350" s="189"/>
      <c r="AC350" s="189"/>
    </row>
    <row r="351" ht="15.75" customHeight="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c r="AA351" s="189"/>
      <c r="AB351" s="189"/>
      <c r="AC351" s="189"/>
    </row>
    <row r="352" ht="15.75" customHeight="1">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c r="AA352" s="189"/>
      <c r="AB352" s="189"/>
      <c r="AC352" s="189"/>
    </row>
    <row r="353" ht="15.75" customHeight="1">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c r="AA353" s="189"/>
      <c r="AB353" s="189"/>
      <c r="AC353" s="189"/>
    </row>
    <row r="354" ht="15.75" customHeight="1">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c r="AA354" s="189"/>
      <c r="AB354" s="189"/>
      <c r="AC354" s="189"/>
    </row>
    <row r="355" ht="15.75" customHeight="1">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c r="AA355" s="189"/>
      <c r="AB355" s="189"/>
      <c r="AC355" s="189"/>
    </row>
    <row r="356" ht="15.75" customHeight="1">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c r="AA356" s="189"/>
      <c r="AB356" s="189"/>
      <c r="AC356" s="189"/>
    </row>
    <row r="357" ht="15.75" customHeight="1">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c r="AA357" s="189"/>
      <c r="AB357" s="189"/>
      <c r="AC357" s="189"/>
    </row>
    <row r="358" ht="15.75" customHeight="1">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c r="AA358" s="189"/>
      <c r="AB358" s="189"/>
      <c r="AC358" s="189"/>
    </row>
    <row r="359" ht="15.75" customHeight="1">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c r="AA359" s="189"/>
      <c r="AB359" s="189"/>
      <c r="AC359" s="189"/>
    </row>
    <row r="360" ht="15.75" customHeight="1">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c r="AA360" s="189"/>
      <c r="AB360" s="189"/>
      <c r="AC360" s="189"/>
    </row>
    <row r="361" ht="15.75" customHeight="1">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c r="AA361" s="189"/>
      <c r="AB361" s="189"/>
      <c r="AC361" s="189"/>
    </row>
    <row r="362" ht="15.75" customHeight="1">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c r="AA362" s="189"/>
      <c r="AB362" s="189"/>
      <c r="AC362" s="189"/>
    </row>
    <row r="363" ht="15.75" customHeight="1">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c r="AA363" s="189"/>
      <c r="AB363" s="189"/>
      <c r="AC363" s="189"/>
    </row>
    <row r="364" ht="15.75" customHeight="1">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c r="AA364" s="189"/>
      <c r="AB364" s="189"/>
      <c r="AC364" s="189"/>
    </row>
    <row r="365" ht="15.75" customHeight="1">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c r="AA365" s="189"/>
      <c r="AB365" s="189"/>
      <c r="AC365" s="189"/>
    </row>
    <row r="366" ht="15.75" customHeight="1">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c r="AA366" s="189"/>
      <c r="AB366" s="189"/>
      <c r="AC366" s="189"/>
    </row>
    <row r="367" ht="15.75" customHeight="1">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c r="AA367" s="189"/>
      <c r="AB367" s="189"/>
      <c r="AC367" s="189"/>
    </row>
    <row r="368" ht="15.75" customHeight="1">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c r="AA368" s="189"/>
      <c r="AB368" s="189"/>
      <c r="AC368" s="189"/>
    </row>
    <row r="369" ht="15.75" customHeight="1">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c r="AA369" s="189"/>
      <c r="AB369" s="189"/>
      <c r="AC369" s="189"/>
    </row>
    <row r="370" ht="15.75" customHeight="1">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c r="AA370" s="189"/>
      <c r="AB370" s="189"/>
      <c r="AC370" s="189"/>
    </row>
    <row r="371" ht="15.75" customHeight="1">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c r="AA371" s="189"/>
      <c r="AB371" s="189"/>
      <c r="AC371" s="189"/>
    </row>
    <row r="372" ht="15.75" customHeight="1">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c r="AA372" s="189"/>
      <c r="AB372" s="189"/>
      <c r="AC372" s="189"/>
    </row>
    <row r="373" ht="15.75" customHeight="1">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c r="AA373" s="189"/>
      <c r="AB373" s="189"/>
      <c r="AC373" s="189"/>
    </row>
    <row r="374" ht="15.75" customHeight="1">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c r="AA374" s="189"/>
      <c r="AB374" s="189"/>
      <c r="AC374" s="189"/>
    </row>
    <row r="375" ht="15.75" customHeight="1">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c r="AA375" s="189"/>
      <c r="AB375" s="189"/>
      <c r="AC375" s="189"/>
    </row>
    <row r="376" ht="15.75" customHeight="1">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c r="AA376" s="189"/>
      <c r="AB376" s="189"/>
      <c r="AC376" s="189"/>
    </row>
    <row r="377" ht="15.75" customHeight="1">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c r="AA377" s="189"/>
      <c r="AB377" s="189"/>
      <c r="AC377" s="189"/>
    </row>
    <row r="378" ht="15.75" customHeight="1">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c r="AA378" s="189"/>
      <c r="AB378" s="189"/>
      <c r="AC378" s="189"/>
    </row>
    <row r="379" ht="15.75" customHeight="1">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c r="AA379" s="189"/>
      <c r="AB379" s="189"/>
      <c r="AC379" s="189"/>
    </row>
    <row r="380" ht="15.75" customHeight="1">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c r="AA380" s="189"/>
      <c r="AB380" s="189"/>
      <c r="AC380" s="189"/>
    </row>
    <row r="381" ht="15.75" customHeight="1">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c r="AA381" s="189"/>
      <c r="AB381" s="189"/>
      <c r="AC381" s="189"/>
    </row>
    <row r="382" ht="15.75" customHeight="1">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c r="AA382" s="189"/>
      <c r="AB382" s="189"/>
      <c r="AC382" s="189"/>
    </row>
    <row r="383" ht="15.75" customHeight="1">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c r="AA383" s="189"/>
      <c r="AB383" s="189"/>
      <c r="AC383" s="189"/>
    </row>
    <row r="384" ht="15.75" customHeight="1">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c r="AA384" s="189"/>
      <c r="AB384" s="189"/>
      <c r="AC384" s="189"/>
    </row>
    <row r="385" ht="15.75" customHeight="1">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c r="AA385" s="189"/>
      <c r="AB385" s="189"/>
      <c r="AC385" s="189"/>
    </row>
    <row r="386" ht="15.75" customHeight="1">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c r="AA386" s="189"/>
      <c r="AB386" s="189"/>
      <c r="AC386" s="189"/>
    </row>
    <row r="387" ht="15.75" customHeight="1">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c r="AA387" s="189"/>
      <c r="AB387" s="189"/>
      <c r="AC387" s="189"/>
    </row>
    <row r="388" ht="15.75" customHeight="1">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c r="AA388" s="189"/>
      <c r="AB388" s="189"/>
      <c r="AC388" s="189"/>
    </row>
    <row r="389" ht="15.75" customHeight="1">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c r="AA389" s="189"/>
      <c r="AB389" s="189"/>
      <c r="AC389" s="189"/>
    </row>
    <row r="390" ht="15.75" customHeight="1">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c r="AA390" s="189"/>
      <c r="AB390" s="189"/>
      <c r="AC390" s="189"/>
    </row>
    <row r="391" ht="15.75" customHeight="1">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c r="AA391" s="189"/>
      <c r="AB391" s="189"/>
      <c r="AC391" s="189"/>
    </row>
    <row r="392" ht="15.75" customHeight="1">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c r="AA392" s="189"/>
      <c r="AB392" s="189"/>
      <c r="AC392" s="189"/>
    </row>
    <row r="393" ht="15.75" customHeight="1">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c r="AA393" s="189"/>
      <c r="AB393" s="189"/>
      <c r="AC393" s="189"/>
    </row>
    <row r="394" ht="15.75" customHeight="1">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c r="AA394" s="189"/>
      <c r="AB394" s="189"/>
      <c r="AC394" s="189"/>
    </row>
    <row r="395" ht="15.75" customHeight="1">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c r="AA395" s="189"/>
      <c r="AB395" s="189"/>
      <c r="AC395" s="189"/>
    </row>
    <row r="396" ht="15.75" customHeight="1">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c r="AA396" s="189"/>
      <c r="AB396" s="189"/>
      <c r="AC396" s="189"/>
    </row>
    <row r="397" ht="15.75" customHeight="1">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c r="AA397" s="189"/>
      <c r="AB397" s="189"/>
      <c r="AC397" s="189"/>
    </row>
    <row r="398" ht="15.75" customHeight="1">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c r="AA398" s="189"/>
      <c r="AB398" s="189"/>
      <c r="AC398" s="189"/>
    </row>
    <row r="399" ht="15.75" customHeight="1">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c r="AA399" s="189"/>
      <c r="AB399" s="189"/>
      <c r="AC399" s="189"/>
    </row>
    <row r="400" ht="15.75" customHeight="1">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c r="AA400" s="189"/>
      <c r="AB400" s="189"/>
      <c r="AC400" s="189"/>
    </row>
    <row r="401" ht="15.75" customHeight="1">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c r="AA401" s="189"/>
      <c r="AB401" s="189"/>
      <c r="AC401" s="189"/>
    </row>
    <row r="402" ht="15.75" customHeight="1">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c r="AA402" s="189"/>
      <c r="AB402" s="189"/>
      <c r="AC402" s="189"/>
    </row>
    <row r="403" ht="15.75" customHeight="1">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c r="AA403" s="189"/>
      <c r="AB403" s="189"/>
      <c r="AC403" s="189"/>
    </row>
    <row r="404" ht="15.75" customHeight="1">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c r="AA404" s="189"/>
      <c r="AB404" s="189"/>
      <c r="AC404" s="189"/>
    </row>
    <row r="405" ht="15.75" customHeight="1">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c r="AA405" s="189"/>
      <c r="AB405" s="189"/>
      <c r="AC405" s="189"/>
    </row>
    <row r="406" ht="15.75" customHeight="1">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c r="AA406" s="189"/>
      <c r="AB406" s="189"/>
      <c r="AC406" s="189"/>
    </row>
    <row r="407" ht="15.75" customHeight="1">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c r="AA407" s="189"/>
      <c r="AB407" s="189"/>
      <c r="AC407" s="189"/>
    </row>
    <row r="408" ht="15.75" customHeight="1">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c r="AA408" s="189"/>
      <c r="AB408" s="189"/>
      <c r="AC408" s="189"/>
    </row>
    <row r="409" ht="15.75" customHeight="1">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c r="AA409" s="189"/>
      <c r="AB409" s="189"/>
      <c r="AC409" s="189"/>
    </row>
    <row r="410" ht="15.75" customHeight="1">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c r="AA410" s="189"/>
      <c r="AB410" s="189"/>
      <c r="AC410" s="189"/>
    </row>
    <row r="411" ht="15.75" customHeight="1">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c r="AA411" s="189"/>
      <c r="AB411" s="189"/>
      <c r="AC411" s="189"/>
    </row>
    <row r="412" ht="15.75" customHeight="1">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c r="AA412" s="189"/>
      <c r="AB412" s="189"/>
      <c r="AC412" s="189"/>
    </row>
    <row r="413" ht="15.75" customHeight="1">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c r="AA413" s="189"/>
      <c r="AB413" s="189"/>
      <c r="AC413" s="189"/>
    </row>
    <row r="414" ht="15.75" customHeight="1">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c r="AA414" s="189"/>
      <c r="AB414" s="189"/>
      <c r="AC414" s="189"/>
    </row>
    <row r="415" ht="15.75" customHeight="1">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c r="AA415" s="189"/>
      <c r="AB415" s="189"/>
      <c r="AC415" s="189"/>
    </row>
    <row r="416" ht="15.75" customHeight="1">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c r="AA416" s="189"/>
      <c r="AB416" s="189"/>
      <c r="AC416" s="189"/>
    </row>
    <row r="417" ht="15.75" customHeight="1">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c r="AA417" s="189"/>
      <c r="AB417" s="189"/>
      <c r="AC417" s="189"/>
    </row>
    <row r="418" ht="15.75" customHeight="1">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c r="AA418" s="189"/>
      <c r="AB418" s="189"/>
      <c r="AC418" s="189"/>
    </row>
    <row r="419" ht="15.75" customHeight="1">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c r="AA419" s="189"/>
      <c r="AB419" s="189"/>
      <c r="AC419" s="189"/>
    </row>
    <row r="420" ht="15.75" customHeight="1">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c r="AA420" s="189"/>
      <c r="AB420" s="189"/>
      <c r="AC420" s="189"/>
    </row>
    <row r="421" ht="15.75" customHeight="1">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c r="AA421" s="189"/>
      <c r="AB421" s="189"/>
      <c r="AC421" s="189"/>
    </row>
    <row r="422" ht="15.75" customHeight="1">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c r="AA422" s="189"/>
      <c r="AB422" s="189"/>
      <c r="AC422" s="189"/>
    </row>
    <row r="423" ht="15.75" customHeight="1">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c r="AA423" s="189"/>
      <c r="AB423" s="189"/>
      <c r="AC423" s="189"/>
    </row>
    <row r="424" ht="15.75" customHeight="1">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c r="AA424" s="189"/>
      <c r="AB424" s="189"/>
      <c r="AC424" s="189"/>
    </row>
    <row r="425" ht="15.75" customHeight="1">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c r="AA425" s="189"/>
      <c r="AB425" s="189"/>
      <c r="AC425" s="189"/>
    </row>
    <row r="426" ht="15.75" customHeight="1">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c r="AA426" s="189"/>
      <c r="AB426" s="189"/>
      <c r="AC426" s="189"/>
    </row>
    <row r="427" ht="15.75" customHeight="1">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c r="AA427" s="189"/>
      <c r="AB427" s="189"/>
      <c r="AC427" s="189"/>
    </row>
    <row r="428" ht="15.75" customHeight="1">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c r="AA428" s="189"/>
      <c r="AB428" s="189"/>
      <c r="AC428" s="189"/>
    </row>
    <row r="429" ht="15.75" customHeight="1">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c r="AA429" s="189"/>
      <c r="AB429" s="189"/>
      <c r="AC429" s="189"/>
    </row>
    <row r="430" ht="15.75" customHeight="1">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c r="AA430" s="189"/>
      <c r="AB430" s="189"/>
      <c r="AC430" s="189"/>
    </row>
    <row r="431" ht="15.75" customHeight="1">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c r="AA431" s="189"/>
      <c r="AB431" s="189"/>
      <c r="AC431" s="189"/>
    </row>
    <row r="432" ht="15.75" customHeight="1">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c r="AA432" s="189"/>
      <c r="AB432" s="189"/>
      <c r="AC432" s="189"/>
    </row>
    <row r="433" ht="15.75" customHeight="1">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c r="AA433" s="189"/>
      <c r="AB433" s="189"/>
      <c r="AC433" s="189"/>
    </row>
    <row r="434" ht="15.75" customHeight="1">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c r="AA434" s="189"/>
      <c r="AB434" s="189"/>
      <c r="AC434" s="189"/>
    </row>
    <row r="435" ht="15.75" customHeight="1">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c r="AA435" s="189"/>
      <c r="AB435" s="189"/>
      <c r="AC435" s="189"/>
    </row>
    <row r="436" ht="15.75" customHeight="1">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c r="AA436" s="189"/>
      <c r="AB436" s="189"/>
      <c r="AC436" s="189"/>
    </row>
    <row r="437" ht="15.75" customHeight="1">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c r="AA437" s="189"/>
      <c r="AB437" s="189"/>
      <c r="AC437" s="189"/>
    </row>
    <row r="438" ht="15.75" customHeight="1">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c r="AA438" s="189"/>
      <c r="AB438" s="189"/>
      <c r="AC438" s="189"/>
    </row>
    <row r="439" ht="15.75" customHeight="1">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c r="AA439" s="189"/>
      <c r="AB439" s="189"/>
      <c r="AC439" s="189"/>
    </row>
    <row r="440" ht="15.75" customHeight="1">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c r="AA440" s="189"/>
      <c r="AB440" s="189"/>
      <c r="AC440" s="189"/>
    </row>
    <row r="441" ht="15.75" customHeight="1">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c r="AA441" s="189"/>
      <c r="AB441" s="189"/>
      <c r="AC441" s="189"/>
    </row>
    <row r="442" ht="15.75" customHeight="1">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c r="AA442" s="189"/>
      <c r="AB442" s="189"/>
      <c r="AC442" s="189"/>
    </row>
    <row r="443" ht="15.75" customHeight="1">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c r="AA443" s="189"/>
      <c r="AB443" s="189"/>
      <c r="AC443" s="189"/>
    </row>
    <row r="444" ht="15.75" customHeight="1">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c r="AA444" s="189"/>
      <c r="AB444" s="189"/>
      <c r="AC444" s="189"/>
    </row>
    <row r="445" ht="15.75" customHeight="1">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c r="AA445" s="189"/>
      <c r="AB445" s="189"/>
      <c r="AC445" s="189"/>
    </row>
    <row r="446" ht="15.75" customHeight="1">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c r="AA446" s="189"/>
      <c r="AB446" s="189"/>
      <c r="AC446" s="189"/>
    </row>
    <row r="447" ht="15.75" customHeight="1">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c r="AA447" s="189"/>
      <c r="AB447" s="189"/>
      <c r="AC447" s="189"/>
    </row>
    <row r="448" ht="15.75" customHeight="1">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c r="AA448" s="189"/>
      <c r="AB448" s="189"/>
      <c r="AC448" s="189"/>
    </row>
    <row r="449" ht="15.75" customHeight="1">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c r="AA449" s="189"/>
      <c r="AB449" s="189"/>
      <c r="AC449" s="189"/>
    </row>
    <row r="450" ht="15.75" customHeight="1">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c r="AA450" s="189"/>
      <c r="AB450" s="189"/>
      <c r="AC450" s="189"/>
    </row>
    <row r="451" ht="15.75" customHeight="1">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c r="AA451" s="189"/>
      <c r="AB451" s="189"/>
      <c r="AC451" s="189"/>
    </row>
    <row r="452" ht="15.75" customHeight="1">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c r="AA452" s="189"/>
      <c r="AB452" s="189"/>
      <c r="AC452" s="189"/>
    </row>
    <row r="453" ht="15.75" customHeight="1">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c r="AA453" s="189"/>
      <c r="AB453" s="189"/>
      <c r="AC453" s="189"/>
    </row>
    <row r="454" ht="15.75" customHeight="1">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c r="AA454" s="189"/>
      <c r="AB454" s="189"/>
      <c r="AC454" s="189"/>
    </row>
    <row r="455" ht="15.75" customHeight="1">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c r="AA455" s="189"/>
      <c r="AB455" s="189"/>
      <c r="AC455" s="189"/>
    </row>
    <row r="456" ht="15.75" customHeight="1">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c r="AA456" s="189"/>
      <c r="AB456" s="189"/>
      <c r="AC456" s="189"/>
    </row>
    <row r="457" ht="15.75" customHeight="1">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c r="AA457" s="189"/>
      <c r="AB457" s="189"/>
      <c r="AC457" s="189"/>
    </row>
    <row r="458" ht="15.75" customHeight="1">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c r="AA458" s="189"/>
      <c r="AB458" s="189"/>
      <c r="AC458" s="189"/>
    </row>
    <row r="459" ht="15.75" customHeight="1">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c r="AA459" s="189"/>
      <c r="AB459" s="189"/>
      <c r="AC459" s="189"/>
    </row>
    <row r="460" ht="15.75" customHeight="1">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c r="AA460" s="189"/>
      <c r="AB460" s="189"/>
      <c r="AC460" s="189"/>
    </row>
    <row r="461" ht="15.75" customHeight="1">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c r="AA461" s="189"/>
      <c r="AB461" s="189"/>
      <c r="AC461" s="189"/>
    </row>
    <row r="462" ht="15.75" customHeight="1">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c r="AA462" s="189"/>
      <c r="AB462" s="189"/>
      <c r="AC462" s="189"/>
    </row>
    <row r="463" ht="15.75" customHeight="1">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c r="AA463" s="189"/>
      <c r="AB463" s="189"/>
      <c r="AC463" s="189"/>
    </row>
    <row r="464" ht="15.75" customHeight="1">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c r="AA464" s="189"/>
      <c r="AB464" s="189"/>
      <c r="AC464" s="189"/>
    </row>
    <row r="465" ht="15.75" customHeight="1">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c r="AA465" s="189"/>
      <c r="AB465" s="189"/>
      <c r="AC465" s="189"/>
    </row>
    <row r="466" ht="15.75" customHeight="1">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c r="AA466" s="189"/>
      <c r="AB466" s="189"/>
      <c r="AC466" s="189"/>
    </row>
    <row r="467" ht="15.75" customHeight="1">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c r="AA467" s="189"/>
      <c r="AB467" s="189"/>
      <c r="AC467" s="189"/>
    </row>
    <row r="468" ht="15.75" customHeight="1">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c r="AA468" s="189"/>
      <c r="AB468" s="189"/>
      <c r="AC468" s="189"/>
    </row>
    <row r="469" ht="15.75" customHeight="1">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c r="AA469" s="189"/>
      <c r="AB469" s="189"/>
      <c r="AC469" s="189"/>
    </row>
    <row r="470" ht="15.75" customHeight="1">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c r="AA470" s="189"/>
      <c r="AB470" s="189"/>
      <c r="AC470" s="189"/>
    </row>
    <row r="471" ht="15.75" customHeight="1">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c r="AA471" s="189"/>
      <c r="AB471" s="189"/>
      <c r="AC471" s="189"/>
    </row>
    <row r="472" ht="15.75" customHeight="1">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c r="AA472" s="189"/>
      <c r="AB472" s="189"/>
      <c r="AC472" s="189"/>
    </row>
    <row r="473" ht="15.75" customHeight="1">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c r="AA473" s="189"/>
      <c r="AB473" s="189"/>
      <c r="AC473" s="189"/>
    </row>
    <row r="474" ht="15.75" customHeight="1">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c r="AA474" s="189"/>
      <c r="AB474" s="189"/>
      <c r="AC474" s="189"/>
    </row>
    <row r="475" ht="15.75" customHeight="1">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c r="AA475" s="189"/>
      <c r="AB475" s="189"/>
      <c r="AC475" s="189"/>
    </row>
    <row r="476" ht="15.75" customHeight="1">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c r="AA476" s="189"/>
      <c r="AB476" s="189"/>
      <c r="AC476" s="189"/>
    </row>
    <row r="477" ht="15.75" customHeight="1">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c r="AA477" s="189"/>
      <c r="AB477" s="189"/>
      <c r="AC477" s="189"/>
    </row>
    <row r="478" ht="15.75" customHeight="1">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c r="AA478" s="189"/>
      <c r="AB478" s="189"/>
      <c r="AC478" s="189"/>
    </row>
    <row r="479" ht="15.75" customHeight="1">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c r="AA479" s="189"/>
      <c r="AB479" s="189"/>
      <c r="AC479" s="189"/>
    </row>
    <row r="480" ht="15.75" customHeight="1">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c r="AA480" s="189"/>
      <c r="AB480" s="189"/>
      <c r="AC480" s="189"/>
    </row>
    <row r="481" ht="15.75" customHeight="1">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c r="AA481" s="189"/>
      <c r="AB481" s="189"/>
      <c r="AC481" s="189"/>
    </row>
    <row r="482" ht="15.75" customHeight="1">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c r="AA482" s="189"/>
      <c r="AB482" s="189"/>
      <c r="AC482" s="189"/>
    </row>
    <row r="483" ht="15.75" customHeight="1">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c r="AA483" s="189"/>
      <c r="AB483" s="189"/>
      <c r="AC483" s="189"/>
    </row>
    <row r="484" ht="15.75" customHeight="1">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c r="AA484" s="189"/>
      <c r="AB484" s="189"/>
      <c r="AC484" s="189"/>
    </row>
    <row r="485" ht="15.75" customHeight="1">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c r="AA485" s="189"/>
      <c r="AB485" s="189"/>
      <c r="AC485" s="189"/>
    </row>
    <row r="486" ht="15.75" customHeight="1">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c r="AA486" s="189"/>
      <c r="AB486" s="189"/>
      <c r="AC486" s="189"/>
    </row>
    <row r="487" ht="15.75" customHeight="1">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c r="AA487" s="189"/>
      <c r="AB487" s="189"/>
      <c r="AC487" s="189"/>
    </row>
    <row r="488" ht="15.75" customHeight="1">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c r="AA488" s="189"/>
      <c r="AB488" s="189"/>
      <c r="AC488" s="189"/>
    </row>
    <row r="489" ht="15.75" customHeight="1">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c r="AA489" s="189"/>
      <c r="AB489" s="189"/>
      <c r="AC489" s="189"/>
    </row>
    <row r="490" ht="15.75" customHeight="1">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c r="AA490" s="189"/>
      <c r="AB490" s="189"/>
      <c r="AC490" s="189"/>
    </row>
    <row r="491" ht="15.75" customHeight="1">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c r="AA491" s="189"/>
      <c r="AB491" s="189"/>
      <c r="AC491" s="189"/>
    </row>
    <row r="492" ht="15.75" customHeight="1">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c r="AA492" s="189"/>
      <c r="AB492" s="189"/>
      <c r="AC492" s="189"/>
    </row>
    <row r="493" ht="15.75" customHeight="1">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c r="AA493" s="189"/>
      <c r="AB493" s="189"/>
      <c r="AC493" s="189"/>
    </row>
    <row r="494" ht="15.75" customHeight="1">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c r="AA494" s="189"/>
      <c r="AB494" s="189"/>
      <c r="AC494" s="189"/>
    </row>
    <row r="495" ht="15.75" customHeight="1">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c r="AA495" s="189"/>
      <c r="AB495" s="189"/>
      <c r="AC495" s="189"/>
    </row>
    <row r="496" ht="15.75" customHeight="1">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c r="AA496" s="189"/>
      <c r="AB496" s="189"/>
      <c r="AC496" s="189"/>
    </row>
    <row r="497" ht="15.75" customHeight="1">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c r="AA497" s="189"/>
      <c r="AB497" s="189"/>
      <c r="AC497" s="189"/>
    </row>
    <row r="498" ht="15.75" customHeight="1">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c r="AA498" s="189"/>
      <c r="AB498" s="189"/>
      <c r="AC498" s="189"/>
    </row>
    <row r="499" ht="15.75" customHeight="1">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c r="AA499" s="189"/>
      <c r="AB499" s="189"/>
      <c r="AC499" s="189"/>
    </row>
    <row r="500" ht="15.75" customHeight="1">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c r="AA500" s="189"/>
      <c r="AB500" s="189"/>
      <c r="AC500" s="189"/>
    </row>
    <row r="501" ht="15.75" customHeight="1">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c r="AA501" s="189"/>
      <c r="AB501" s="189"/>
      <c r="AC501" s="189"/>
    </row>
    <row r="502" ht="15.75" customHeight="1">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c r="AA502" s="189"/>
      <c r="AB502" s="189"/>
      <c r="AC502" s="189"/>
    </row>
    <row r="503" ht="15.75" customHeight="1">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c r="AA503" s="189"/>
      <c r="AB503" s="189"/>
      <c r="AC503" s="189"/>
    </row>
    <row r="504" ht="15.75" customHeight="1">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c r="AA504" s="189"/>
      <c r="AB504" s="189"/>
      <c r="AC504" s="189"/>
    </row>
    <row r="505" ht="15.75" customHeight="1">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c r="AA505" s="189"/>
      <c r="AB505" s="189"/>
      <c r="AC505" s="189"/>
    </row>
    <row r="506" ht="15.75" customHeight="1">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c r="AA506" s="189"/>
      <c r="AB506" s="189"/>
      <c r="AC506" s="189"/>
    </row>
    <row r="507" ht="15.75" customHeight="1">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c r="AA507" s="189"/>
      <c r="AB507" s="189"/>
      <c r="AC507" s="189"/>
    </row>
    <row r="508" ht="15.75" customHeight="1">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c r="AA508" s="189"/>
      <c r="AB508" s="189"/>
      <c r="AC508" s="189"/>
    </row>
    <row r="509" ht="15.75" customHeight="1">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c r="AA509" s="189"/>
      <c r="AB509" s="189"/>
      <c r="AC509" s="189"/>
    </row>
    <row r="510" ht="15.75" customHeight="1">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c r="AA510" s="189"/>
      <c r="AB510" s="189"/>
      <c r="AC510" s="189"/>
    </row>
    <row r="511" ht="15.75" customHeight="1">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c r="AA511" s="189"/>
      <c r="AB511" s="189"/>
      <c r="AC511" s="189"/>
    </row>
    <row r="512" ht="15.75" customHeight="1">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c r="AA512" s="189"/>
      <c r="AB512" s="189"/>
      <c r="AC512" s="189"/>
    </row>
    <row r="513" ht="15.75" customHeight="1">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c r="AA513" s="189"/>
      <c r="AB513" s="189"/>
      <c r="AC513" s="189"/>
    </row>
    <row r="514" ht="15.75" customHeight="1">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c r="AA514" s="189"/>
      <c r="AB514" s="189"/>
      <c r="AC514" s="189"/>
    </row>
    <row r="515" ht="15.75" customHeight="1">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c r="AA515" s="189"/>
      <c r="AB515" s="189"/>
      <c r="AC515" s="189"/>
    </row>
    <row r="516" ht="15.75" customHeight="1">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c r="AA516" s="189"/>
      <c r="AB516" s="189"/>
      <c r="AC516" s="189"/>
    </row>
    <row r="517" ht="15.75" customHeight="1">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c r="AA517" s="189"/>
      <c r="AB517" s="189"/>
      <c r="AC517" s="189"/>
    </row>
    <row r="518" ht="15.75" customHeight="1">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c r="AA518" s="189"/>
      <c r="AB518" s="189"/>
      <c r="AC518" s="189"/>
    </row>
    <row r="519" ht="15.75" customHeight="1">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c r="AA519" s="189"/>
      <c r="AB519" s="189"/>
      <c r="AC519" s="189"/>
    </row>
    <row r="520" ht="15.75" customHeight="1">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c r="AA520" s="189"/>
      <c r="AB520" s="189"/>
      <c r="AC520" s="189"/>
    </row>
    <row r="521" ht="15.75" customHeight="1">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c r="AA521" s="189"/>
      <c r="AB521" s="189"/>
      <c r="AC521" s="189"/>
    </row>
    <row r="522" ht="15.75" customHeight="1">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c r="AA522" s="189"/>
      <c r="AB522" s="189"/>
      <c r="AC522" s="189"/>
    </row>
    <row r="523" ht="15.75" customHeight="1">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c r="AA523" s="189"/>
      <c r="AB523" s="189"/>
      <c r="AC523" s="189"/>
    </row>
    <row r="524" ht="15.75" customHeight="1">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c r="AA524" s="189"/>
      <c r="AB524" s="189"/>
      <c r="AC524" s="189"/>
    </row>
    <row r="525" ht="15.75" customHeight="1">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c r="AA525" s="189"/>
      <c r="AB525" s="189"/>
      <c r="AC525" s="189"/>
    </row>
    <row r="526" ht="15.75" customHeight="1">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c r="AA526" s="189"/>
      <c r="AB526" s="189"/>
      <c r="AC526" s="189"/>
    </row>
    <row r="527" ht="15.75" customHeight="1">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c r="AA527" s="189"/>
      <c r="AB527" s="189"/>
      <c r="AC527" s="189"/>
    </row>
    <row r="528" ht="15.75" customHeight="1">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c r="AA528" s="189"/>
      <c r="AB528" s="189"/>
      <c r="AC528" s="189"/>
    </row>
    <row r="529" ht="15.75" customHeight="1">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c r="AA529" s="189"/>
      <c r="AB529" s="189"/>
      <c r="AC529" s="189"/>
    </row>
    <row r="530" ht="15.75" customHeight="1">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c r="AA530" s="189"/>
      <c r="AB530" s="189"/>
      <c r="AC530" s="189"/>
    </row>
    <row r="531" ht="15.75" customHeight="1">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c r="AA531" s="189"/>
      <c r="AB531" s="189"/>
      <c r="AC531" s="189"/>
    </row>
    <row r="532" ht="15.75" customHeight="1">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c r="AA532" s="189"/>
      <c r="AB532" s="189"/>
      <c r="AC532" s="189"/>
    </row>
    <row r="533" ht="15.75" customHeight="1">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c r="AA533" s="189"/>
      <c r="AB533" s="189"/>
      <c r="AC533" s="189"/>
    </row>
    <row r="534" ht="15.75" customHeight="1">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c r="AA534" s="189"/>
      <c r="AB534" s="189"/>
      <c r="AC534" s="189"/>
    </row>
    <row r="535" ht="15.75" customHeight="1">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c r="AA535" s="189"/>
      <c r="AB535" s="189"/>
      <c r="AC535" s="189"/>
    </row>
    <row r="536" ht="15.75" customHeight="1">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c r="AA536" s="189"/>
      <c r="AB536" s="189"/>
      <c r="AC536" s="189"/>
    </row>
    <row r="537" ht="15.75" customHeight="1">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c r="AA537" s="189"/>
      <c r="AB537" s="189"/>
      <c r="AC537" s="189"/>
    </row>
    <row r="538" ht="15.75" customHeight="1">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c r="AA538" s="189"/>
      <c r="AB538" s="189"/>
      <c r="AC538" s="189"/>
    </row>
    <row r="539" ht="15.75" customHeight="1">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c r="AA539" s="189"/>
      <c r="AB539" s="189"/>
      <c r="AC539" s="189"/>
    </row>
    <row r="540" ht="15.75" customHeight="1">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c r="AA540" s="189"/>
      <c r="AB540" s="189"/>
      <c r="AC540" s="189"/>
    </row>
    <row r="541" ht="15.75" customHeight="1">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c r="AA541" s="189"/>
      <c r="AB541" s="189"/>
      <c r="AC541" s="189"/>
    </row>
    <row r="542" ht="15.75" customHeight="1">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c r="AA542" s="189"/>
      <c r="AB542" s="189"/>
      <c r="AC542" s="189"/>
    </row>
    <row r="543" ht="15.75" customHeight="1">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c r="AA543" s="189"/>
      <c r="AB543" s="189"/>
      <c r="AC543" s="189"/>
    </row>
    <row r="544" ht="15.75" customHeight="1">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c r="AA544" s="189"/>
      <c r="AB544" s="189"/>
      <c r="AC544" s="189"/>
    </row>
    <row r="545" ht="15.75" customHeight="1">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c r="AA545" s="189"/>
      <c r="AB545" s="189"/>
      <c r="AC545" s="189"/>
    </row>
    <row r="546" ht="15.75" customHeight="1">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c r="AA546" s="189"/>
      <c r="AB546" s="189"/>
      <c r="AC546" s="189"/>
    </row>
    <row r="547" ht="15.75" customHeight="1">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c r="AA547" s="189"/>
      <c r="AB547" s="189"/>
      <c r="AC547" s="189"/>
    </row>
    <row r="548" ht="15.75" customHeight="1">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c r="AA548" s="189"/>
      <c r="AB548" s="189"/>
      <c r="AC548" s="189"/>
    </row>
    <row r="549" ht="15.75" customHeight="1">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c r="AA549" s="189"/>
      <c r="AB549" s="189"/>
      <c r="AC549" s="189"/>
    </row>
    <row r="550" ht="15.75" customHeight="1">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c r="AA550" s="189"/>
      <c r="AB550" s="189"/>
      <c r="AC550" s="189"/>
    </row>
    <row r="551" ht="15.75" customHeight="1">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c r="AA551" s="189"/>
      <c r="AB551" s="189"/>
      <c r="AC551" s="189"/>
    </row>
    <row r="552" ht="15.75" customHeight="1">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c r="AA552" s="189"/>
      <c r="AB552" s="189"/>
      <c r="AC552" s="189"/>
    </row>
    <row r="553" ht="15.75" customHeight="1">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c r="AA553" s="189"/>
      <c r="AB553" s="189"/>
      <c r="AC553" s="189"/>
    </row>
    <row r="554" ht="15.75" customHeight="1">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c r="AA554" s="189"/>
      <c r="AB554" s="189"/>
      <c r="AC554" s="189"/>
    </row>
    <row r="555" ht="15.75" customHeight="1">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c r="AA555" s="189"/>
      <c r="AB555" s="189"/>
      <c r="AC555" s="189"/>
    </row>
    <row r="556" ht="15.75" customHeight="1">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c r="AA556" s="189"/>
      <c r="AB556" s="189"/>
      <c r="AC556" s="189"/>
    </row>
    <row r="557" ht="15.75" customHeight="1">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c r="AA557" s="189"/>
      <c r="AB557" s="189"/>
      <c r="AC557" s="189"/>
    </row>
    <row r="558" ht="15.75" customHeight="1">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c r="AA558" s="189"/>
      <c r="AB558" s="189"/>
      <c r="AC558" s="189"/>
    </row>
    <row r="559" ht="15.75" customHeight="1">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c r="AA559" s="189"/>
      <c r="AB559" s="189"/>
      <c r="AC559" s="189"/>
    </row>
    <row r="560" ht="15.75" customHeight="1">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c r="AA560" s="189"/>
      <c r="AB560" s="189"/>
      <c r="AC560" s="189"/>
    </row>
    <row r="561" ht="15.75" customHeight="1">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c r="AA561" s="189"/>
      <c r="AB561" s="189"/>
      <c r="AC561" s="189"/>
    </row>
    <row r="562" ht="15.75" customHeight="1">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c r="AA562" s="189"/>
      <c r="AB562" s="189"/>
      <c r="AC562" s="189"/>
    </row>
    <row r="563" ht="15.75" customHeight="1">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c r="AA563" s="189"/>
      <c r="AB563" s="189"/>
      <c r="AC563" s="189"/>
    </row>
    <row r="564" ht="15.75" customHeight="1">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c r="AA564" s="189"/>
      <c r="AB564" s="189"/>
      <c r="AC564" s="189"/>
    </row>
    <row r="565" ht="15.75" customHeight="1">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c r="AA565" s="189"/>
      <c r="AB565" s="189"/>
      <c r="AC565" s="189"/>
    </row>
    <row r="566" ht="15.75" customHeight="1">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c r="AA566" s="189"/>
      <c r="AB566" s="189"/>
      <c r="AC566" s="189"/>
    </row>
    <row r="567" ht="15.75" customHeight="1">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c r="AA567" s="189"/>
      <c r="AB567" s="189"/>
      <c r="AC567" s="189"/>
    </row>
    <row r="568" ht="15.75" customHeight="1">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c r="AA568" s="189"/>
      <c r="AB568" s="189"/>
      <c r="AC568" s="189"/>
    </row>
    <row r="569" ht="15.75" customHeight="1">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c r="AA569" s="189"/>
      <c r="AB569" s="189"/>
      <c r="AC569" s="189"/>
    </row>
    <row r="570" ht="15.75" customHeight="1">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c r="AA570" s="189"/>
      <c r="AB570" s="189"/>
      <c r="AC570" s="189"/>
    </row>
    <row r="571" ht="15.75" customHeight="1">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c r="AA571" s="189"/>
      <c r="AB571" s="189"/>
      <c r="AC571" s="189"/>
    </row>
    <row r="572" ht="15.75" customHeight="1">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c r="AA572" s="189"/>
      <c r="AB572" s="189"/>
      <c r="AC572" s="189"/>
    </row>
    <row r="573" ht="15.75" customHeight="1">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c r="AA573" s="189"/>
      <c r="AB573" s="189"/>
      <c r="AC573" s="189"/>
    </row>
    <row r="574" ht="15.75" customHeight="1">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c r="AA574" s="189"/>
      <c r="AB574" s="189"/>
      <c r="AC574" s="189"/>
    </row>
    <row r="575" ht="15.75" customHeight="1">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c r="AA575" s="189"/>
      <c r="AB575" s="189"/>
      <c r="AC575" s="189"/>
    </row>
    <row r="576" ht="15.75" customHeight="1">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c r="AA576" s="189"/>
      <c r="AB576" s="189"/>
      <c r="AC576" s="189"/>
    </row>
    <row r="577" ht="15.75" customHeight="1">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c r="AA577" s="189"/>
      <c r="AB577" s="189"/>
      <c r="AC577" s="189"/>
    </row>
    <row r="578" ht="15.75" customHeight="1">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c r="AA578" s="189"/>
      <c r="AB578" s="189"/>
      <c r="AC578" s="189"/>
    </row>
    <row r="579" ht="15.75" customHeight="1">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c r="AA579" s="189"/>
      <c r="AB579" s="189"/>
      <c r="AC579" s="189"/>
    </row>
    <row r="580" ht="15.75" customHeight="1">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c r="AA580" s="189"/>
      <c r="AB580" s="189"/>
      <c r="AC580" s="189"/>
    </row>
    <row r="581" ht="15.75" customHeight="1">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c r="AA581" s="189"/>
      <c r="AB581" s="189"/>
      <c r="AC581" s="189"/>
    </row>
    <row r="582" ht="15.75" customHeight="1">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c r="AA582" s="189"/>
      <c r="AB582" s="189"/>
      <c r="AC582" s="189"/>
    </row>
    <row r="583" ht="15.75" customHeight="1">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c r="AA583" s="189"/>
      <c r="AB583" s="189"/>
      <c r="AC583" s="189"/>
    </row>
    <row r="584" ht="15.75" customHeight="1">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c r="AA584" s="189"/>
      <c r="AB584" s="189"/>
      <c r="AC584" s="189"/>
    </row>
    <row r="585" ht="15.75" customHeight="1">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c r="AA585" s="189"/>
      <c r="AB585" s="189"/>
      <c r="AC585" s="189"/>
    </row>
    <row r="586" ht="15.75" customHeight="1">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c r="AA586" s="189"/>
      <c r="AB586" s="189"/>
      <c r="AC586" s="189"/>
    </row>
    <row r="587" ht="15.75" customHeight="1">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c r="AA587" s="189"/>
      <c r="AB587" s="189"/>
      <c r="AC587" s="189"/>
    </row>
    <row r="588" ht="15.75" customHeight="1">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c r="AA588" s="189"/>
      <c r="AB588" s="189"/>
      <c r="AC588" s="189"/>
    </row>
    <row r="589" ht="15.75" customHeight="1">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c r="AA589" s="189"/>
      <c r="AB589" s="189"/>
      <c r="AC589" s="189"/>
    </row>
    <row r="590" ht="15.75" customHeight="1">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c r="AA590" s="189"/>
      <c r="AB590" s="189"/>
      <c r="AC590" s="189"/>
    </row>
    <row r="591" ht="15.75" customHeight="1">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c r="AA591" s="189"/>
      <c r="AB591" s="189"/>
      <c r="AC591" s="189"/>
    </row>
    <row r="592" ht="15.75" customHeight="1">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c r="AA592" s="189"/>
      <c r="AB592" s="189"/>
      <c r="AC592" s="189"/>
    </row>
    <row r="593" ht="15.75" customHeight="1">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c r="AA593" s="189"/>
      <c r="AB593" s="189"/>
      <c r="AC593" s="189"/>
    </row>
    <row r="594" ht="15.75" customHeight="1">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c r="AA594" s="189"/>
      <c r="AB594" s="189"/>
      <c r="AC594" s="189"/>
    </row>
    <row r="595" ht="15.75" customHeight="1">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c r="AA595" s="189"/>
      <c r="AB595" s="189"/>
      <c r="AC595" s="189"/>
    </row>
    <row r="596" ht="15.75" customHeight="1">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c r="AA596" s="189"/>
      <c r="AB596" s="189"/>
      <c r="AC596" s="189"/>
    </row>
    <row r="597" ht="15.75" customHeight="1">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c r="AA597" s="189"/>
      <c r="AB597" s="189"/>
      <c r="AC597" s="189"/>
    </row>
    <row r="598" ht="15.75" customHeight="1">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c r="AA598" s="189"/>
      <c r="AB598" s="189"/>
      <c r="AC598" s="189"/>
    </row>
    <row r="599" ht="15.75" customHeight="1">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c r="AA599" s="189"/>
      <c r="AB599" s="189"/>
      <c r="AC599" s="189"/>
    </row>
    <row r="600" ht="15.75" customHeight="1">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c r="AA600" s="189"/>
      <c r="AB600" s="189"/>
      <c r="AC600" s="189"/>
    </row>
    <row r="601" ht="15.75" customHeight="1">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c r="AA601" s="189"/>
      <c r="AB601" s="189"/>
      <c r="AC601" s="189"/>
    </row>
    <row r="602" ht="15.75" customHeight="1">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c r="AA602" s="189"/>
      <c r="AB602" s="189"/>
      <c r="AC602" s="189"/>
    </row>
    <row r="603" ht="15.75" customHeight="1">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c r="AA603" s="189"/>
      <c r="AB603" s="189"/>
      <c r="AC603" s="189"/>
    </row>
    <row r="604" ht="15.75" customHeight="1">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c r="AA604" s="189"/>
      <c r="AB604" s="189"/>
      <c r="AC604" s="189"/>
    </row>
    <row r="605" ht="15.75" customHeight="1">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c r="AA605" s="189"/>
      <c r="AB605" s="189"/>
      <c r="AC605" s="189"/>
    </row>
    <row r="606" ht="15.75" customHeight="1">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c r="AA606" s="189"/>
      <c r="AB606" s="189"/>
      <c r="AC606" s="189"/>
    </row>
    <row r="607" ht="15.75" customHeight="1">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c r="AA607" s="189"/>
      <c r="AB607" s="189"/>
      <c r="AC607" s="189"/>
    </row>
    <row r="608" ht="15.75" customHeight="1">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c r="AA608" s="189"/>
      <c r="AB608" s="189"/>
      <c r="AC608" s="189"/>
    </row>
    <row r="609" ht="15.75" customHeight="1">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c r="AA609" s="189"/>
      <c r="AB609" s="189"/>
      <c r="AC609" s="189"/>
    </row>
    <row r="610" ht="15.75" customHeight="1">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c r="AA610" s="189"/>
      <c r="AB610" s="189"/>
      <c r="AC610" s="189"/>
    </row>
    <row r="611" ht="15.75" customHeight="1">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c r="AA611" s="189"/>
      <c r="AB611" s="189"/>
      <c r="AC611" s="189"/>
    </row>
    <row r="612" ht="15.75" customHeight="1">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c r="AA612" s="189"/>
      <c r="AB612" s="189"/>
      <c r="AC612" s="189"/>
    </row>
    <row r="613" ht="15.75" customHeight="1">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c r="AA613" s="189"/>
      <c r="AB613" s="189"/>
      <c r="AC613" s="189"/>
    </row>
    <row r="614" ht="15.75" customHeight="1">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c r="AA614" s="189"/>
      <c r="AB614" s="189"/>
      <c r="AC614" s="189"/>
    </row>
    <row r="615" ht="15.75" customHeight="1">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c r="AA615" s="189"/>
      <c r="AB615" s="189"/>
      <c r="AC615" s="189"/>
    </row>
    <row r="616" ht="15.75" customHeight="1">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c r="AA616" s="189"/>
      <c r="AB616" s="189"/>
      <c r="AC616" s="189"/>
    </row>
    <row r="617" ht="15.75" customHeight="1">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c r="AA617" s="189"/>
      <c r="AB617" s="189"/>
      <c r="AC617" s="189"/>
    </row>
    <row r="618" ht="15.75" customHeight="1">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c r="AA618" s="189"/>
      <c r="AB618" s="189"/>
      <c r="AC618" s="189"/>
    </row>
    <row r="619" ht="15.75" customHeight="1">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c r="AA619" s="189"/>
      <c r="AB619" s="189"/>
      <c r="AC619" s="189"/>
    </row>
    <row r="620" ht="15.75" customHeight="1">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c r="AA620" s="189"/>
      <c r="AB620" s="189"/>
      <c r="AC620" s="189"/>
    </row>
    <row r="621" ht="15.75" customHeight="1">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c r="AA621" s="189"/>
      <c r="AB621" s="189"/>
      <c r="AC621" s="189"/>
    </row>
    <row r="622" ht="15.75" customHeight="1">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c r="AA622" s="189"/>
      <c r="AB622" s="189"/>
      <c r="AC622" s="189"/>
    </row>
    <row r="623" ht="15.75" customHeight="1">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c r="AA623" s="189"/>
      <c r="AB623" s="189"/>
      <c r="AC623" s="189"/>
    </row>
    <row r="624" ht="15.75" customHeight="1">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c r="AA624" s="189"/>
      <c r="AB624" s="189"/>
      <c r="AC624" s="189"/>
    </row>
    <row r="625" ht="15.75" customHeight="1">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c r="AA625" s="189"/>
      <c r="AB625" s="189"/>
      <c r="AC625" s="189"/>
    </row>
    <row r="626" ht="15.75" customHeight="1">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c r="AA626" s="189"/>
      <c r="AB626" s="189"/>
      <c r="AC626" s="189"/>
    </row>
    <row r="627" ht="15.75" customHeight="1">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c r="AA627" s="189"/>
      <c r="AB627" s="189"/>
      <c r="AC627" s="189"/>
    </row>
    <row r="628" ht="15.75" customHeight="1">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c r="AA628" s="189"/>
      <c r="AB628" s="189"/>
      <c r="AC628" s="189"/>
    </row>
    <row r="629" ht="15.75" customHeight="1">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c r="AA629" s="189"/>
      <c r="AB629" s="189"/>
      <c r="AC629" s="189"/>
    </row>
    <row r="630" ht="15.75" customHeight="1">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c r="AA630" s="189"/>
      <c r="AB630" s="189"/>
      <c r="AC630" s="189"/>
    </row>
    <row r="631" ht="15.75" customHeight="1">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c r="AA631" s="189"/>
      <c r="AB631" s="189"/>
      <c r="AC631" s="189"/>
    </row>
    <row r="632" ht="15.75" customHeight="1">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c r="AA632" s="189"/>
      <c r="AB632" s="189"/>
      <c r="AC632" s="189"/>
    </row>
    <row r="633" ht="15.75" customHeight="1">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c r="AA633" s="189"/>
      <c r="AB633" s="189"/>
      <c r="AC633" s="189"/>
    </row>
    <row r="634" ht="15.75" customHeight="1">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c r="AA634" s="189"/>
      <c r="AB634" s="189"/>
      <c r="AC634" s="189"/>
    </row>
    <row r="635" ht="15.75" customHeight="1">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c r="AA635" s="189"/>
      <c r="AB635" s="189"/>
      <c r="AC635" s="189"/>
    </row>
    <row r="636" ht="15.75" customHeight="1">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c r="AA636" s="189"/>
      <c r="AB636" s="189"/>
      <c r="AC636" s="189"/>
    </row>
    <row r="637" ht="15.75" customHeight="1">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c r="AA637" s="189"/>
      <c r="AB637" s="189"/>
      <c r="AC637" s="189"/>
    </row>
    <row r="638" ht="15.75" customHeight="1">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c r="AA638" s="189"/>
      <c r="AB638" s="189"/>
      <c r="AC638" s="189"/>
    </row>
    <row r="639" ht="15.75" customHeight="1">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c r="AA639" s="189"/>
      <c r="AB639" s="189"/>
      <c r="AC639" s="189"/>
    </row>
    <row r="640" ht="15.75" customHeight="1">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c r="AA640" s="189"/>
      <c r="AB640" s="189"/>
      <c r="AC640" s="189"/>
    </row>
    <row r="641" ht="15.75" customHeight="1">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c r="AA641" s="189"/>
      <c r="AB641" s="189"/>
      <c r="AC641" s="189"/>
    </row>
    <row r="642" ht="15.75" customHeight="1">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c r="AA642" s="189"/>
      <c r="AB642" s="189"/>
      <c r="AC642" s="189"/>
    </row>
    <row r="643" ht="15.75" customHeight="1">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c r="AA643" s="189"/>
      <c r="AB643" s="189"/>
      <c r="AC643" s="189"/>
    </row>
    <row r="644" ht="15.75" customHeight="1">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c r="AA644" s="189"/>
      <c r="AB644" s="189"/>
      <c r="AC644" s="189"/>
    </row>
    <row r="645" ht="15.75" customHeight="1">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c r="AA645" s="189"/>
      <c r="AB645" s="189"/>
      <c r="AC645" s="189"/>
    </row>
    <row r="646" ht="15.75" customHeight="1">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c r="AA646" s="189"/>
      <c r="AB646" s="189"/>
      <c r="AC646" s="189"/>
    </row>
    <row r="647" ht="15.75" customHeight="1">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c r="AA647" s="189"/>
      <c r="AB647" s="189"/>
      <c r="AC647" s="189"/>
    </row>
    <row r="648" ht="15.75" customHeight="1">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c r="AA648" s="189"/>
      <c r="AB648" s="189"/>
      <c r="AC648" s="189"/>
    </row>
    <row r="649" ht="15.75" customHeight="1">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c r="AA649" s="189"/>
      <c r="AB649" s="189"/>
      <c r="AC649" s="189"/>
    </row>
    <row r="650" ht="15.75" customHeight="1">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c r="AA650" s="189"/>
      <c r="AB650" s="189"/>
      <c r="AC650" s="189"/>
    </row>
    <row r="651" ht="15.75" customHeight="1">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c r="AA651" s="189"/>
      <c r="AB651" s="189"/>
      <c r="AC651" s="189"/>
    </row>
    <row r="652" ht="15.75" customHeight="1">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c r="AA652" s="189"/>
      <c r="AB652" s="189"/>
      <c r="AC652" s="189"/>
    </row>
    <row r="653" ht="15.75" customHeight="1">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c r="AA653" s="189"/>
      <c r="AB653" s="189"/>
      <c r="AC653" s="189"/>
    </row>
    <row r="654" ht="15.75" customHeight="1">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c r="AA654" s="189"/>
      <c r="AB654" s="189"/>
      <c r="AC654" s="189"/>
    </row>
    <row r="655" ht="15.75" customHeight="1">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c r="AA655" s="189"/>
      <c r="AB655" s="189"/>
      <c r="AC655" s="189"/>
    </row>
    <row r="656" ht="15.75" customHeight="1">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c r="AA656" s="189"/>
      <c r="AB656" s="189"/>
      <c r="AC656" s="189"/>
    </row>
    <row r="657" ht="15.75" customHeight="1">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c r="AA657" s="189"/>
      <c r="AB657" s="189"/>
      <c r="AC657" s="189"/>
    </row>
    <row r="658" ht="15.75" customHeight="1">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c r="AA658" s="189"/>
      <c r="AB658" s="189"/>
      <c r="AC658" s="189"/>
    </row>
    <row r="659" ht="15.75" customHeight="1">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c r="AA659" s="189"/>
      <c r="AB659" s="189"/>
      <c r="AC659" s="189"/>
    </row>
    <row r="660" ht="15.75" customHeight="1">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c r="AA660" s="189"/>
      <c r="AB660" s="189"/>
      <c r="AC660" s="189"/>
    </row>
    <row r="661" ht="15.75" customHeight="1">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c r="AA661" s="189"/>
      <c r="AB661" s="189"/>
      <c r="AC661" s="189"/>
    </row>
    <row r="662" ht="15.75" customHeight="1">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c r="AA662" s="189"/>
      <c r="AB662" s="189"/>
      <c r="AC662" s="189"/>
    </row>
    <row r="663" ht="15.75" customHeight="1">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c r="AA663" s="189"/>
      <c r="AB663" s="189"/>
      <c r="AC663" s="189"/>
    </row>
    <row r="664" ht="15.75" customHeight="1">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c r="AA664" s="189"/>
      <c r="AB664" s="189"/>
      <c r="AC664" s="189"/>
    </row>
    <row r="665" ht="15.75" customHeight="1">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c r="AA665" s="189"/>
      <c r="AB665" s="189"/>
      <c r="AC665" s="189"/>
    </row>
    <row r="666" ht="15.75" customHeight="1">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c r="AA666" s="189"/>
      <c r="AB666" s="189"/>
      <c r="AC666" s="189"/>
    </row>
    <row r="667" ht="15.75" customHeight="1">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c r="AA667" s="189"/>
      <c r="AB667" s="189"/>
      <c r="AC667" s="189"/>
    </row>
    <row r="668" ht="15.75" customHeight="1">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c r="AA668" s="189"/>
      <c r="AB668" s="189"/>
      <c r="AC668" s="189"/>
    </row>
    <row r="669" ht="15.75" customHeight="1">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c r="AA669" s="189"/>
      <c r="AB669" s="189"/>
      <c r="AC669" s="189"/>
    </row>
    <row r="670" ht="15.75" customHeight="1">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c r="AA670" s="189"/>
      <c r="AB670" s="189"/>
      <c r="AC670" s="189"/>
    </row>
    <row r="671" ht="15.75" customHeight="1">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c r="AA671" s="189"/>
      <c r="AB671" s="189"/>
      <c r="AC671" s="189"/>
    </row>
    <row r="672" ht="15.75" customHeight="1">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c r="AA672" s="189"/>
      <c r="AB672" s="189"/>
      <c r="AC672" s="189"/>
    </row>
    <row r="673" ht="15.75" customHeight="1">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c r="AA673" s="189"/>
      <c r="AB673" s="189"/>
      <c r="AC673" s="189"/>
    </row>
    <row r="674" ht="15.75" customHeight="1">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c r="AA674" s="189"/>
      <c r="AB674" s="189"/>
      <c r="AC674" s="189"/>
    </row>
    <row r="675" ht="15.75" customHeight="1">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c r="AA675" s="189"/>
      <c r="AB675" s="189"/>
      <c r="AC675" s="189"/>
    </row>
    <row r="676" ht="15.75" customHeight="1">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c r="AA676" s="189"/>
      <c r="AB676" s="189"/>
      <c r="AC676" s="189"/>
    </row>
    <row r="677" ht="15.75" customHeight="1">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c r="AA677" s="189"/>
      <c r="AB677" s="189"/>
      <c r="AC677" s="189"/>
    </row>
    <row r="678" ht="15.75" customHeight="1">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c r="AA678" s="189"/>
      <c r="AB678" s="189"/>
      <c r="AC678" s="189"/>
    </row>
    <row r="679" ht="15.75" customHeight="1">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c r="AA679" s="189"/>
      <c r="AB679" s="189"/>
      <c r="AC679" s="189"/>
    </row>
    <row r="680" ht="15.75" customHeight="1">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c r="AA680" s="189"/>
      <c r="AB680" s="189"/>
      <c r="AC680" s="189"/>
    </row>
    <row r="681" ht="15.75" customHeight="1">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c r="AA681" s="189"/>
      <c r="AB681" s="189"/>
      <c r="AC681" s="189"/>
    </row>
    <row r="682" ht="15.75" customHeight="1">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c r="AA682" s="189"/>
      <c r="AB682" s="189"/>
      <c r="AC682" s="189"/>
    </row>
    <row r="683" ht="15.75" customHeight="1">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c r="AA683" s="189"/>
      <c r="AB683" s="189"/>
      <c r="AC683" s="189"/>
    </row>
    <row r="684" ht="15.75" customHeight="1">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c r="AA684" s="189"/>
      <c r="AB684" s="189"/>
      <c r="AC684" s="189"/>
    </row>
    <row r="685" ht="15.75" customHeight="1">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c r="AA685" s="189"/>
      <c r="AB685" s="189"/>
      <c r="AC685" s="189"/>
    </row>
    <row r="686" ht="15.75" customHeight="1">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c r="AA686" s="189"/>
      <c r="AB686" s="189"/>
      <c r="AC686" s="189"/>
    </row>
    <row r="687" ht="15.75" customHeight="1">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c r="AA687" s="189"/>
      <c r="AB687" s="189"/>
      <c r="AC687" s="189"/>
    </row>
    <row r="688" ht="15.75" customHeight="1">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c r="AA688" s="189"/>
      <c r="AB688" s="189"/>
      <c r="AC688" s="189"/>
    </row>
    <row r="689" ht="15.75" customHeight="1">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c r="AA689" s="189"/>
      <c r="AB689" s="189"/>
      <c r="AC689" s="189"/>
    </row>
    <row r="690" ht="15.75" customHeight="1">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c r="AA690" s="189"/>
      <c r="AB690" s="189"/>
      <c r="AC690" s="189"/>
    </row>
    <row r="691" ht="15.75" customHeight="1">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c r="AA691" s="189"/>
      <c r="AB691" s="189"/>
      <c r="AC691" s="189"/>
    </row>
    <row r="692" ht="15.75" customHeight="1">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c r="AA692" s="189"/>
      <c r="AB692" s="189"/>
      <c r="AC692" s="189"/>
    </row>
    <row r="693" ht="15.75" customHeight="1">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c r="AA693" s="189"/>
      <c r="AB693" s="189"/>
      <c r="AC693" s="189"/>
    </row>
    <row r="694" ht="15.75" customHeight="1">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c r="AA694" s="189"/>
      <c r="AB694" s="189"/>
      <c r="AC694" s="189"/>
    </row>
    <row r="695" ht="15.75" customHeight="1">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c r="AA695" s="189"/>
      <c r="AB695" s="189"/>
      <c r="AC695" s="189"/>
    </row>
    <row r="696" ht="15.75" customHeight="1">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c r="AA696" s="189"/>
      <c r="AB696" s="189"/>
      <c r="AC696" s="189"/>
    </row>
    <row r="697" ht="15.75" customHeight="1">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c r="AA697" s="189"/>
      <c r="AB697" s="189"/>
      <c r="AC697" s="189"/>
    </row>
    <row r="698" ht="15.75" customHeight="1">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c r="AA698" s="189"/>
      <c r="AB698" s="189"/>
      <c r="AC698" s="189"/>
    </row>
    <row r="699" ht="15.75" customHeight="1">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c r="AA699" s="189"/>
      <c r="AB699" s="189"/>
      <c r="AC699" s="189"/>
    </row>
    <row r="700" ht="15.75" customHeight="1">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c r="AA700" s="189"/>
      <c r="AB700" s="189"/>
      <c r="AC700" s="189"/>
    </row>
    <row r="701" ht="15.75" customHeight="1">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c r="AA701" s="189"/>
      <c r="AB701" s="189"/>
      <c r="AC701" s="189"/>
    </row>
    <row r="702" ht="15.75" customHeight="1">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c r="AA702" s="189"/>
      <c r="AB702" s="189"/>
      <c r="AC702" s="189"/>
    </row>
    <row r="703" ht="15.75" customHeight="1">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c r="AA703" s="189"/>
      <c r="AB703" s="189"/>
      <c r="AC703" s="189"/>
    </row>
    <row r="704" ht="15.75" customHeight="1">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c r="AA704" s="189"/>
      <c r="AB704" s="189"/>
      <c r="AC704" s="189"/>
    </row>
    <row r="705" ht="15.75" customHeight="1">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c r="AA705" s="189"/>
      <c r="AB705" s="189"/>
      <c r="AC705" s="189"/>
    </row>
    <row r="706" ht="15.75" customHeight="1">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c r="AA706" s="189"/>
      <c r="AB706" s="189"/>
      <c r="AC706" s="189"/>
    </row>
    <row r="707" ht="15.75" customHeight="1">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c r="AA707" s="189"/>
      <c r="AB707" s="189"/>
      <c r="AC707" s="189"/>
    </row>
    <row r="708" ht="15.75" customHeight="1">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c r="AA708" s="189"/>
      <c r="AB708" s="189"/>
      <c r="AC708" s="189"/>
    </row>
    <row r="709" ht="15.75" customHeight="1">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c r="AA709" s="189"/>
      <c r="AB709" s="189"/>
      <c r="AC709" s="189"/>
    </row>
    <row r="710" ht="15.75" customHeight="1">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c r="AA710" s="189"/>
      <c r="AB710" s="189"/>
      <c r="AC710" s="189"/>
    </row>
    <row r="711" ht="15.75" customHeight="1">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c r="AA711" s="189"/>
      <c r="AB711" s="189"/>
      <c r="AC711" s="189"/>
    </row>
    <row r="712" ht="15.75" customHeight="1">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c r="AA712" s="189"/>
      <c r="AB712" s="189"/>
      <c r="AC712" s="189"/>
    </row>
    <row r="713" ht="15.75" customHeight="1">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c r="AA713" s="189"/>
      <c r="AB713" s="189"/>
      <c r="AC713" s="189"/>
    </row>
    <row r="714" ht="15.75" customHeight="1">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c r="AA714" s="189"/>
      <c r="AB714" s="189"/>
      <c r="AC714" s="189"/>
    </row>
    <row r="715" ht="15.75" customHeight="1">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c r="AA715" s="189"/>
      <c r="AB715" s="189"/>
      <c r="AC715" s="189"/>
    </row>
    <row r="716" ht="15.75" customHeight="1">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c r="AA716" s="189"/>
      <c r="AB716" s="189"/>
      <c r="AC716" s="189"/>
    </row>
    <row r="717" ht="15.75" customHeight="1">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c r="AA717" s="189"/>
      <c r="AB717" s="189"/>
      <c r="AC717" s="189"/>
    </row>
    <row r="718" ht="15.75" customHeight="1">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c r="AA718" s="189"/>
      <c r="AB718" s="189"/>
      <c r="AC718" s="189"/>
    </row>
    <row r="719" ht="15.75" customHeight="1">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c r="AA719" s="189"/>
      <c r="AB719" s="189"/>
      <c r="AC719" s="189"/>
    </row>
    <row r="720" ht="15.75" customHeight="1">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c r="AA720" s="189"/>
      <c r="AB720" s="189"/>
      <c r="AC720" s="189"/>
    </row>
    <row r="721" ht="15.75" customHeight="1">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c r="AA721" s="189"/>
      <c r="AB721" s="189"/>
      <c r="AC721" s="189"/>
    </row>
    <row r="722" ht="15.75" customHeight="1">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c r="AA722" s="189"/>
      <c r="AB722" s="189"/>
      <c r="AC722" s="189"/>
    </row>
    <row r="723" ht="15.75" customHeight="1">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c r="AA723" s="189"/>
      <c r="AB723" s="189"/>
      <c r="AC723" s="189"/>
    </row>
    <row r="724" ht="15.75" customHeight="1">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c r="AA724" s="189"/>
      <c r="AB724" s="189"/>
      <c r="AC724" s="189"/>
    </row>
    <row r="725" ht="15.75" customHeight="1">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c r="AA725" s="189"/>
      <c r="AB725" s="189"/>
      <c r="AC725" s="189"/>
    </row>
    <row r="726" ht="15.75" customHeight="1">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c r="AA726" s="189"/>
      <c r="AB726" s="189"/>
      <c r="AC726" s="189"/>
    </row>
    <row r="727" ht="15.75" customHeight="1">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c r="AA727" s="189"/>
      <c r="AB727" s="189"/>
      <c r="AC727" s="189"/>
    </row>
    <row r="728" ht="15.75" customHeight="1">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c r="AA728" s="189"/>
      <c r="AB728" s="189"/>
      <c r="AC728" s="189"/>
    </row>
    <row r="729" ht="15.75" customHeight="1">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c r="AA729" s="189"/>
      <c r="AB729" s="189"/>
      <c r="AC729" s="189"/>
    </row>
    <row r="730" ht="15.75" customHeight="1">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c r="AA730" s="189"/>
      <c r="AB730" s="189"/>
      <c r="AC730" s="189"/>
    </row>
    <row r="731" ht="15.75" customHeight="1">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c r="AA731" s="189"/>
      <c r="AB731" s="189"/>
      <c r="AC731" s="189"/>
    </row>
    <row r="732" ht="15.75" customHeight="1">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c r="AA732" s="189"/>
      <c r="AB732" s="189"/>
      <c r="AC732" s="189"/>
    </row>
    <row r="733" ht="15.75" customHeight="1">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c r="AA733" s="189"/>
      <c r="AB733" s="189"/>
      <c r="AC733" s="189"/>
    </row>
    <row r="734" ht="15.75" customHeight="1">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c r="AA734" s="189"/>
      <c r="AB734" s="189"/>
      <c r="AC734" s="189"/>
    </row>
    <row r="735" ht="15.75" customHeight="1">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c r="AA735" s="189"/>
      <c r="AB735" s="189"/>
      <c r="AC735" s="189"/>
    </row>
    <row r="736" ht="15.75" customHeight="1">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c r="AA736" s="189"/>
      <c r="AB736" s="189"/>
      <c r="AC736" s="189"/>
    </row>
    <row r="737" ht="15.75" customHeight="1">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c r="AA737" s="189"/>
      <c r="AB737" s="189"/>
      <c r="AC737" s="189"/>
    </row>
    <row r="738" ht="15.75" customHeight="1">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c r="AA738" s="189"/>
      <c r="AB738" s="189"/>
      <c r="AC738" s="189"/>
    </row>
    <row r="739" ht="15.75" customHeight="1">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c r="AA739" s="189"/>
      <c r="AB739" s="189"/>
      <c r="AC739" s="189"/>
    </row>
    <row r="740" ht="15.75" customHeight="1">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c r="AA740" s="189"/>
      <c r="AB740" s="189"/>
      <c r="AC740" s="189"/>
    </row>
    <row r="741" ht="15.75" customHeight="1">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c r="AA741" s="189"/>
      <c r="AB741" s="189"/>
      <c r="AC741" s="189"/>
    </row>
    <row r="742" ht="15.75" customHeight="1">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c r="AA742" s="189"/>
      <c r="AB742" s="189"/>
      <c r="AC742" s="189"/>
    </row>
    <row r="743" ht="15.75" customHeight="1">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c r="AA743" s="189"/>
      <c r="AB743" s="189"/>
      <c r="AC743" s="189"/>
    </row>
    <row r="744" ht="15.75" customHeight="1">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c r="AA744" s="189"/>
      <c r="AB744" s="189"/>
      <c r="AC744" s="189"/>
    </row>
    <row r="745" ht="15.75" customHeight="1">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c r="AA745" s="189"/>
      <c r="AB745" s="189"/>
      <c r="AC745" s="189"/>
    </row>
    <row r="746" ht="15.75" customHeight="1">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c r="AA746" s="189"/>
      <c r="AB746" s="189"/>
      <c r="AC746" s="189"/>
    </row>
    <row r="747" ht="15.75" customHeight="1">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c r="AA747" s="189"/>
      <c r="AB747" s="189"/>
      <c r="AC747" s="189"/>
    </row>
    <row r="748" ht="15.75" customHeight="1">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c r="AA748" s="189"/>
      <c r="AB748" s="189"/>
      <c r="AC748" s="189"/>
    </row>
    <row r="749" ht="15.75" customHeight="1">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c r="AA749" s="189"/>
      <c r="AB749" s="189"/>
      <c r="AC749" s="189"/>
    </row>
    <row r="750" ht="15.75" customHeight="1">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c r="AA750" s="189"/>
      <c r="AB750" s="189"/>
      <c r="AC750" s="189"/>
    </row>
    <row r="751" ht="15.75" customHeight="1">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c r="AA751" s="189"/>
      <c r="AB751" s="189"/>
      <c r="AC751" s="189"/>
    </row>
    <row r="752" ht="15.75" customHeight="1">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c r="AA752" s="189"/>
      <c r="AB752" s="189"/>
      <c r="AC752" s="189"/>
    </row>
    <row r="753" ht="15.75" customHeight="1">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c r="AA753" s="189"/>
      <c r="AB753" s="189"/>
      <c r="AC753" s="189"/>
    </row>
    <row r="754" ht="15.75" customHeight="1">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c r="AA754" s="189"/>
      <c r="AB754" s="189"/>
      <c r="AC754" s="189"/>
    </row>
    <row r="755" ht="15.75" customHeight="1">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c r="AA755" s="189"/>
      <c r="AB755" s="189"/>
      <c r="AC755" s="189"/>
    </row>
    <row r="756" ht="15.75" customHeight="1">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c r="AA756" s="189"/>
      <c r="AB756" s="189"/>
      <c r="AC756" s="189"/>
    </row>
    <row r="757" ht="15.75" customHeight="1">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c r="AA757" s="189"/>
      <c r="AB757" s="189"/>
      <c r="AC757" s="189"/>
    </row>
    <row r="758" ht="15.75" customHeight="1">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c r="AA758" s="189"/>
      <c r="AB758" s="189"/>
      <c r="AC758" s="189"/>
    </row>
    <row r="759" ht="15.75" customHeight="1">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c r="AA759" s="189"/>
      <c r="AB759" s="189"/>
      <c r="AC759" s="189"/>
    </row>
    <row r="760" ht="15.75" customHeight="1">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c r="AA760" s="189"/>
      <c r="AB760" s="189"/>
      <c r="AC760" s="189"/>
    </row>
    <row r="761" ht="15.75" customHeight="1">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c r="AA761" s="189"/>
      <c r="AB761" s="189"/>
      <c r="AC761" s="189"/>
    </row>
    <row r="762" ht="15.75" customHeight="1">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c r="AA762" s="189"/>
      <c r="AB762" s="189"/>
      <c r="AC762" s="189"/>
    </row>
    <row r="763" ht="15.75" customHeight="1">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c r="AA763" s="189"/>
      <c r="AB763" s="189"/>
      <c r="AC763" s="189"/>
    </row>
    <row r="764" ht="15.75" customHeight="1">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c r="AA764" s="189"/>
      <c r="AB764" s="189"/>
      <c r="AC764" s="189"/>
    </row>
    <row r="765" ht="15.75" customHeight="1">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c r="AA765" s="189"/>
      <c r="AB765" s="189"/>
      <c r="AC765" s="189"/>
    </row>
    <row r="766" ht="15.75" customHeight="1">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c r="AA766" s="189"/>
      <c r="AB766" s="189"/>
      <c r="AC766" s="189"/>
    </row>
    <row r="767" ht="15.75" customHeight="1">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c r="AA767" s="189"/>
      <c r="AB767" s="189"/>
      <c r="AC767" s="189"/>
    </row>
    <row r="768" ht="15.75" customHeight="1">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c r="AA768" s="189"/>
      <c r="AB768" s="189"/>
      <c r="AC768" s="189"/>
    </row>
    <row r="769" ht="15.75" customHeight="1">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c r="AA769" s="189"/>
      <c r="AB769" s="189"/>
      <c r="AC769" s="189"/>
    </row>
    <row r="770" ht="15.75" customHeight="1">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c r="AA770" s="189"/>
      <c r="AB770" s="189"/>
      <c r="AC770" s="189"/>
    </row>
    <row r="771" ht="15.75" customHeight="1">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c r="AA771" s="189"/>
      <c r="AB771" s="189"/>
      <c r="AC771" s="189"/>
    </row>
    <row r="772" ht="15.75" customHeight="1">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c r="AA772" s="189"/>
      <c r="AB772" s="189"/>
      <c r="AC772" s="189"/>
    </row>
    <row r="773" ht="15.75" customHeight="1">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c r="AA773" s="189"/>
      <c r="AB773" s="189"/>
      <c r="AC773" s="189"/>
    </row>
    <row r="774" ht="15.75" customHeight="1">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c r="AA774" s="189"/>
      <c r="AB774" s="189"/>
      <c r="AC774" s="189"/>
    </row>
    <row r="775" ht="15.75" customHeight="1">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c r="AA775" s="189"/>
      <c r="AB775" s="189"/>
      <c r="AC775" s="189"/>
    </row>
    <row r="776" ht="15.75" customHeight="1">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c r="AA776" s="189"/>
      <c r="AB776" s="189"/>
      <c r="AC776" s="189"/>
    </row>
    <row r="777" ht="15.75" customHeight="1">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c r="AA777" s="189"/>
      <c r="AB777" s="189"/>
      <c r="AC777" s="189"/>
    </row>
    <row r="778" ht="15.75" customHeight="1">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c r="AA778" s="189"/>
      <c r="AB778" s="189"/>
      <c r="AC778" s="189"/>
    </row>
    <row r="779" ht="15.75" customHeight="1">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c r="AA779" s="189"/>
      <c r="AB779" s="189"/>
      <c r="AC779" s="189"/>
    </row>
    <row r="780" ht="15.75" customHeight="1">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c r="AA780" s="189"/>
      <c r="AB780" s="189"/>
      <c r="AC780" s="189"/>
    </row>
    <row r="781" ht="15.75" customHeight="1">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c r="AA781" s="189"/>
      <c r="AB781" s="189"/>
      <c r="AC781" s="189"/>
    </row>
    <row r="782" ht="15.75" customHeight="1">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c r="AA782" s="189"/>
      <c r="AB782" s="189"/>
      <c r="AC782" s="189"/>
    </row>
    <row r="783" ht="15.75" customHeight="1">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c r="AA783" s="189"/>
      <c r="AB783" s="189"/>
      <c r="AC783" s="189"/>
    </row>
    <row r="784" ht="15.75" customHeight="1">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c r="AA784" s="189"/>
      <c r="AB784" s="189"/>
      <c r="AC784" s="189"/>
    </row>
    <row r="785" ht="15.75" customHeight="1">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c r="AA785" s="189"/>
      <c r="AB785" s="189"/>
      <c r="AC785" s="189"/>
    </row>
    <row r="786" ht="15.75" customHeight="1">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c r="AA786" s="189"/>
      <c r="AB786" s="189"/>
      <c r="AC786" s="189"/>
    </row>
    <row r="787" ht="15.75" customHeight="1">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c r="AA787" s="189"/>
      <c r="AB787" s="189"/>
      <c r="AC787" s="189"/>
    </row>
    <row r="788" ht="15.75" customHeight="1">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c r="AA788" s="189"/>
      <c r="AB788" s="189"/>
      <c r="AC788" s="189"/>
    </row>
    <row r="789" ht="15.75" customHeight="1">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c r="AA789" s="189"/>
      <c r="AB789" s="189"/>
      <c r="AC789" s="189"/>
    </row>
    <row r="790" ht="15.75" customHeight="1">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c r="AA790" s="189"/>
      <c r="AB790" s="189"/>
      <c r="AC790" s="189"/>
    </row>
    <row r="791" ht="15.75" customHeight="1">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c r="AA791" s="189"/>
      <c r="AB791" s="189"/>
      <c r="AC791" s="189"/>
    </row>
    <row r="792" ht="15.75" customHeight="1">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c r="AA792" s="189"/>
      <c r="AB792" s="189"/>
      <c r="AC792" s="189"/>
    </row>
    <row r="793" ht="15.75" customHeight="1">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c r="AA793" s="189"/>
      <c r="AB793" s="189"/>
      <c r="AC793" s="189"/>
    </row>
    <row r="794" ht="15.75" customHeight="1">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c r="AA794" s="189"/>
      <c r="AB794" s="189"/>
      <c r="AC794" s="189"/>
    </row>
    <row r="795" ht="15.75" customHeight="1">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c r="AA795" s="189"/>
      <c r="AB795" s="189"/>
      <c r="AC795" s="189"/>
    </row>
    <row r="796" ht="15.75" customHeight="1">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c r="AA796" s="189"/>
      <c r="AB796" s="189"/>
      <c r="AC796" s="189"/>
    </row>
    <row r="797" ht="15.75" customHeight="1">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c r="AA797" s="189"/>
      <c r="AB797" s="189"/>
      <c r="AC797" s="189"/>
    </row>
    <row r="798" ht="15.75" customHeight="1">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c r="AA798" s="189"/>
      <c r="AB798" s="189"/>
      <c r="AC798" s="189"/>
    </row>
    <row r="799" ht="15.75" customHeight="1">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c r="AA799" s="189"/>
      <c r="AB799" s="189"/>
      <c r="AC799" s="189"/>
    </row>
    <row r="800" ht="15.75" customHeight="1">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c r="AA800" s="189"/>
      <c r="AB800" s="189"/>
      <c r="AC800" s="189"/>
    </row>
    <row r="801" ht="15.75" customHeight="1">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c r="AA801" s="189"/>
      <c r="AB801" s="189"/>
      <c r="AC801" s="189"/>
    </row>
    <row r="802" ht="15.75" customHeight="1">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c r="AA802" s="189"/>
      <c r="AB802" s="189"/>
      <c r="AC802" s="189"/>
    </row>
    <row r="803" ht="15.75" customHeight="1">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c r="AA803" s="189"/>
      <c r="AB803" s="189"/>
      <c r="AC803" s="189"/>
    </row>
    <row r="804" ht="15.75" customHeight="1">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c r="AA804" s="189"/>
      <c r="AB804" s="189"/>
      <c r="AC804" s="189"/>
    </row>
    <row r="805" ht="15.75" customHeight="1">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c r="AA805" s="189"/>
      <c r="AB805" s="189"/>
      <c r="AC805" s="189"/>
    </row>
    <row r="806" ht="15.75" customHeight="1">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c r="AA806" s="189"/>
      <c r="AB806" s="189"/>
      <c r="AC806" s="189"/>
    </row>
    <row r="807" ht="15.75" customHeight="1">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c r="AA807" s="189"/>
      <c r="AB807" s="189"/>
      <c r="AC807" s="189"/>
    </row>
    <row r="808" ht="15.75" customHeight="1">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c r="AA808" s="189"/>
      <c r="AB808" s="189"/>
      <c r="AC808" s="189"/>
    </row>
    <row r="809" ht="15.75" customHeight="1">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c r="AA809" s="189"/>
      <c r="AB809" s="189"/>
      <c r="AC809" s="189"/>
    </row>
    <row r="810" ht="15.75" customHeight="1">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c r="AA810" s="189"/>
      <c r="AB810" s="189"/>
      <c r="AC810" s="189"/>
    </row>
    <row r="811" ht="15.75" customHeight="1">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c r="AA811" s="189"/>
      <c r="AB811" s="189"/>
      <c r="AC811" s="189"/>
    </row>
    <row r="812" ht="15.75" customHeight="1">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c r="AA812" s="189"/>
      <c r="AB812" s="189"/>
      <c r="AC812" s="189"/>
    </row>
    <row r="813" ht="15.75" customHeight="1">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c r="AA813" s="189"/>
      <c r="AB813" s="189"/>
      <c r="AC813" s="189"/>
    </row>
    <row r="814" ht="15.75" customHeight="1">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c r="AA814" s="189"/>
      <c r="AB814" s="189"/>
      <c r="AC814" s="189"/>
    </row>
    <row r="815" ht="15.75" customHeight="1">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c r="AA815" s="189"/>
      <c r="AB815" s="189"/>
      <c r="AC815" s="189"/>
    </row>
    <row r="816" ht="15.75" customHeight="1">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c r="AA816" s="189"/>
      <c r="AB816" s="189"/>
      <c r="AC816" s="189"/>
    </row>
    <row r="817" ht="15.75" customHeight="1">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c r="AA817" s="189"/>
      <c r="AB817" s="189"/>
      <c r="AC817" s="189"/>
    </row>
    <row r="818" ht="15.75" customHeight="1">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c r="AA818" s="189"/>
      <c r="AB818" s="189"/>
      <c r="AC818" s="189"/>
    </row>
    <row r="819" ht="15.75" customHeight="1">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c r="AA819" s="189"/>
      <c r="AB819" s="189"/>
      <c r="AC819" s="189"/>
    </row>
    <row r="820" ht="15.75" customHeight="1">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c r="AA820" s="189"/>
      <c r="AB820" s="189"/>
      <c r="AC820" s="189"/>
    </row>
    <row r="821" ht="15.75" customHeight="1">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c r="AA821" s="189"/>
      <c r="AB821" s="189"/>
      <c r="AC821" s="189"/>
    </row>
    <row r="822" ht="15.75" customHeight="1">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c r="AA822" s="189"/>
      <c r="AB822" s="189"/>
      <c r="AC822" s="189"/>
    </row>
    <row r="823" ht="15.75" customHeight="1">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c r="AA823" s="189"/>
      <c r="AB823" s="189"/>
      <c r="AC823" s="189"/>
    </row>
    <row r="824" ht="15.75" customHeight="1">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c r="AA824" s="189"/>
      <c r="AB824" s="189"/>
      <c r="AC824" s="189"/>
    </row>
    <row r="825" ht="15.75" customHeight="1">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c r="AA825" s="189"/>
      <c r="AB825" s="189"/>
      <c r="AC825" s="189"/>
    </row>
    <row r="826" ht="15.75" customHeight="1">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c r="AA826" s="189"/>
      <c r="AB826" s="189"/>
      <c r="AC826" s="189"/>
    </row>
    <row r="827" ht="15.75" customHeight="1">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c r="AA827" s="189"/>
      <c r="AB827" s="189"/>
      <c r="AC827" s="189"/>
    </row>
    <row r="828" ht="15.75" customHeight="1">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c r="AA828" s="189"/>
      <c r="AB828" s="189"/>
      <c r="AC828" s="189"/>
    </row>
    <row r="829" ht="15.75" customHeight="1">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c r="AA829" s="189"/>
      <c r="AB829" s="189"/>
      <c r="AC829" s="189"/>
    </row>
    <row r="830" ht="15.75" customHeight="1">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c r="AA830" s="189"/>
      <c r="AB830" s="189"/>
      <c r="AC830" s="189"/>
    </row>
    <row r="831" ht="15.75" customHeight="1">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c r="AA831" s="189"/>
      <c r="AB831" s="189"/>
      <c r="AC831" s="189"/>
    </row>
    <row r="832" ht="15.75" customHeight="1">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c r="AA832" s="189"/>
      <c r="AB832" s="189"/>
      <c r="AC832" s="189"/>
    </row>
    <row r="833" ht="15.75" customHeight="1">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c r="AA833" s="189"/>
      <c r="AB833" s="189"/>
      <c r="AC833" s="189"/>
    </row>
    <row r="834" ht="15.75" customHeight="1">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c r="AA834" s="189"/>
      <c r="AB834" s="189"/>
      <c r="AC834" s="189"/>
    </row>
    <row r="835" ht="15.75" customHeight="1">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c r="AA835" s="189"/>
      <c r="AB835" s="189"/>
      <c r="AC835" s="189"/>
    </row>
    <row r="836" ht="15.75" customHeight="1">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c r="AA836" s="189"/>
      <c r="AB836" s="189"/>
      <c r="AC836" s="189"/>
    </row>
    <row r="837" ht="15.75" customHeight="1">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c r="AA837" s="189"/>
      <c r="AB837" s="189"/>
      <c r="AC837" s="189"/>
    </row>
    <row r="838" ht="15.75" customHeight="1">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c r="AA838" s="189"/>
      <c r="AB838" s="189"/>
      <c r="AC838" s="189"/>
    </row>
    <row r="839" ht="15.75" customHeight="1">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c r="AA839" s="189"/>
      <c r="AB839" s="189"/>
      <c r="AC839" s="189"/>
    </row>
    <row r="840" ht="15.75" customHeight="1">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c r="AA840" s="189"/>
      <c r="AB840" s="189"/>
      <c r="AC840" s="189"/>
    </row>
    <row r="841" ht="15.75" customHeight="1">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c r="AA841" s="189"/>
      <c r="AB841" s="189"/>
      <c r="AC841" s="189"/>
    </row>
    <row r="842" ht="15.75" customHeight="1">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c r="AA842" s="189"/>
      <c r="AB842" s="189"/>
      <c r="AC842" s="189"/>
    </row>
    <row r="843" ht="15.75" customHeight="1">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c r="AA843" s="189"/>
      <c r="AB843" s="189"/>
      <c r="AC843" s="189"/>
    </row>
    <row r="844" ht="15.75" customHeight="1">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c r="AA844" s="189"/>
      <c r="AB844" s="189"/>
      <c r="AC844" s="189"/>
    </row>
    <row r="845" ht="15.75" customHeight="1">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c r="AA845" s="189"/>
      <c r="AB845" s="189"/>
      <c r="AC845" s="189"/>
    </row>
    <row r="846" ht="15.75" customHeight="1">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c r="AA846" s="189"/>
      <c r="AB846" s="189"/>
      <c r="AC846" s="189"/>
    </row>
    <row r="847" ht="15.75" customHeight="1">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c r="AA847" s="189"/>
      <c r="AB847" s="189"/>
      <c r="AC847" s="189"/>
    </row>
    <row r="848" ht="15.75" customHeight="1">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c r="AA848" s="189"/>
      <c r="AB848" s="189"/>
      <c r="AC848" s="189"/>
    </row>
    <row r="849" ht="15.75" customHeight="1">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c r="AA849" s="189"/>
      <c r="AB849" s="189"/>
      <c r="AC849" s="189"/>
    </row>
    <row r="850" ht="15.75" customHeight="1">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c r="AA850" s="189"/>
      <c r="AB850" s="189"/>
      <c r="AC850" s="189"/>
    </row>
    <row r="851" ht="15.75" customHeight="1">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c r="AA851" s="189"/>
      <c r="AB851" s="189"/>
      <c r="AC851" s="189"/>
    </row>
    <row r="852" ht="15.75" customHeight="1">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c r="AA852" s="189"/>
      <c r="AB852" s="189"/>
      <c r="AC852" s="189"/>
    </row>
    <row r="853" ht="15.75" customHeight="1">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c r="AA853" s="189"/>
      <c r="AB853" s="189"/>
      <c r="AC853" s="189"/>
    </row>
    <row r="854" ht="15.75" customHeight="1">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c r="AA854" s="189"/>
      <c r="AB854" s="189"/>
      <c r="AC854" s="189"/>
    </row>
    <row r="855" ht="15.75" customHeight="1">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c r="AA855" s="189"/>
      <c r="AB855" s="189"/>
      <c r="AC855" s="189"/>
    </row>
    <row r="856" ht="15.75" customHeight="1">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c r="AA856" s="189"/>
      <c r="AB856" s="189"/>
      <c r="AC856" s="189"/>
    </row>
    <row r="857" ht="15.75" customHeight="1">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c r="AA857" s="189"/>
      <c r="AB857" s="189"/>
      <c r="AC857" s="189"/>
    </row>
    <row r="858" ht="15.75" customHeight="1">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c r="AA858" s="189"/>
      <c r="AB858" s="189"/>
      <c r="AC858" s="189"/>
    </row>
    <row r="859" ht="15.75" customHeight="1">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c r="AA859" s="189"/>
      <c r="AB859" s="189"/>
      <c r="AC859" s="189"/>
    </row>
    <row r="860" ht="15.75" customHeight="1">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c r="AA860" s="189"/>
      <c r="AB860" s="189"/>
      <c r="AC860" s="189"/>
    </row>
    <row r="861" ht="15.75" customHeight="1">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c r="AA861" s="189"/>
      <c r="AB861" s="189"/>
      <c r="AC861" s="189"/>
    </row>
    <row r="862" ht="15.75" customHeight="1">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c r="AA862" s="189"/>
      <c r="AB862" s="189"/>
      <c r="AC862" s="189"/>
    </row>
    <row r="863" ht="15.75" customHeight="1">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c r="AA863" s="189"/>
      <c r="AB863" s="189"/>
      <c r="AC863" s="189"/>
    </row>
    <row r="864" ht="15.75" customHeight="1">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c r="AA864" s="189"/>
      <c r="AB864" s="189"/>
      <c r="AC864" s="189"/>
    </row>
    <row r="865" ht="15.75" customHeight="1">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c r="AA865" s="189"/>
      <c r="AB865" s="189"/>
      <c r="AC865" s="189"/>
    </row>
    <row r="866" ht="15.75" customHeight="1">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c r="AA866" s="189"/>
      <c r="AB866" s="189"/>
      <c r="AC866" s="189"/>
    </row>
    <row r="867" ht="15.75" customHeight="1">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c r="AA867" s="189"/>
      <c r="AB867" s="189"/>
      <c r="AC867" s="189"/>
    </row>
    <row r="868" ht="15.75" customHeight="1">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c r="AA868" s="189"/>
      <c r="AB868" s="189"/>
      <c r="AC868" s="189"/>
    </row>
    <row r="869" ht="15.75" customHeight="1">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c r="AA869" s="189"/>
      <c r="AB869" s="189"/>
      <c r="AC869" s="189"/>
    </row>
    <row r="870" ht="15.75" customHeight="1">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c r="AA870" s="189"/>
      <c r="AB870" s="189"/>
      <c r="AC870" s="189"/>
    </row>
    <row r="871" ht="15.75" customHeight="1">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c r="AA871" s="189"/>
      <c r="AB871" s="189"/>
      <c r="AC871" s="189"/>
    </row>
    <row r="872" ht="15.75" customHeight="1">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c r="AA872" s="189"/>
      <c r="AB872" s="189"/>
      <c r="AC872" s="189"/>
    </row>
    <row r="873" ht="15.75" customHeight="1">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c r="AA873" s="189"/>
      <c r="AB873" s="189"/>
      <c r="AC873" s="189"/>
    </row>
    <row r="874" ht="15.75" customHeight="1">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c r="AA874" s="189"/>
      <c r="AB874" s="189"/>
      <c r="AC874" s="189"/>
    </row>
    <row r="875" ht="15.75" customHeight="1">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c r="AA875" s="189"/>
      <c r="AB875" s="189"/>
      <c r="AC875" s="189"/>
    </row>
    <row r="876" ht="15.75" customHeight="1">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c r="AA876" s="189"/>
      <c r="AB876" s="189"/>
      <c r="AC876" s="189"/>
    </row>
    <row r="877" ht="15.75" customHeight="1">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c r="AA877" s="189"/>
      <c r="AB877" s="189"/>
      <c r="AC877" s="189"/>
    </row>
    <row r="878" ht="15.75" customHeight="1">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c r="AA878" s="189"/>
      <c r="AB878" s="189"/>
      <c r="AC878" s="189"/>
    </row>
    <row r="879" ht="15.75" customHeight="1">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c r="AA879" s="189"/>
      <c r="AB879" s="189"/>
      <c r="AC879" s="189"/>
    </row>
    <row r="880" ht="15.75" customHeight="1">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c r="AA880" s="189"/>
      <c r="AB880" s="189"/>
      <c r="AC880" s="189"/>
    </row>
    <row r="881" ht="15.75" customHeight="1">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c r="AA881" s="189"/>
      <c r="AB881" s="189"/>
      <c r="AC881" s="189"/>
    </row>
    <row r="882" ht="15.75" customHeight="1">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c r="AA882" s="189"/>
      <c r="AB882" s="189"/>
      <c r="AC882" s="189"/>
    </row>
    <row r="883" ht="15.75" customHeight="1">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c r="AA883" s="189"/>
      <c r="AB883" s="189"/>
      <c r="AC883" s="189"/>
    </row>
    <row r="884" ht="15.75" customHeight="1">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c r="AA884" s="189"/>
      <c r="AB884" s="189"/>
      <c r="AC884" s="189"/>
    </row>
    <row r="885" ht="15.75" customHeight="1">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c r="AA885" s="189"/>
      <c r="AB885" s="189"/>
      <c r="AC885" s="189"/>
    </row>
    <row r="886" ht="15.75" customHeight="1">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c r="AA886" s="189"/>
      <c r="AB886" s="189"/>
      <c r="AC886" s="189"/>
    </row>
    <row r="887" ht="15.75" customHeight="1">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c r="AA887" s="189"/>
      <c r="AB887" s="189"/>
      <c r="AC887" s="189"/>
    </row>
    <row r="888" ht="15.75" customHeight="1">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c r="AA888" s="189"/>
      <c r="AB888" s="189"/>
      <c r="AC888" s="189"/>
    </row>
    <row r="889" ht="15.75" customHeight="1">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c r="AA889" s="189"/>
      <c r="AB889" s="189"/>
      <c r="AC889" s="189"/>
    </row>
    <row r="890" ht="15.75" customHeight="1">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c r="AA890" s="189"/>
      <c r="AB890" s="189"/>
      <c r="AC890" s="189"/>
    </row>
    <row r="891" ht="15.75" customHeight="1">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c r="AA891" s="189"/>
      <c r="AB891" s="189"/>
      <c r="AC891" s="189"/>
    </row>
    <row r="892" ht="15.75" customHeight="1">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c r="AA892" s="189"/>
      <c r="AB892" s="189"/>
      <c r="AC892" s="189"/>
    </row>
    <row r="893" ht="15.75" customHeight="1">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c r="AA893" s="189"/>
      <c r="AB893" s="189"/>
      <c r="AC893" s="189"/>
    </row>
    <row r="894" ht="15.75" customHeight="1">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c r="AA894" s="189"/>
      <c r="AB894" s="189"/>
      <c r="AC894" s="189"/>
    </row>
    <row r="895" ht="15.75" customHeight="1">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c r="AA895" s="189"/>
      <c r="AB895" s="189"/>
      <c r="AC895" s="189"/>
    </row>
    <row r="896" ht="15.75" customHeight="1">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c r="AA896" s="189"/>
      <c r="AB896" s="189"/>
      <c r="AC896" s="189"/>
    </row>
    <row r="897" ht="15.75" customHeight="1">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c r="AA897" s="189"/>
      <c r="AB897" s="189"/>
      <c r="AC897" s="189"/>
    </row>
    <row r="898" ht="15.75" customHeight="1">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c r="AA898" s="189"/>
      <c r="AB898" s="189"/>
      <c r="AC898" s="189"/>
    </row>
    <row r="899" ht="15.75" customHeight="1">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c r="AA899" s="189"/>
      <c r="AB899" s="189"/>
      <c r="AC899" s="189"/>
    </row>
    <row r="900" ht="15.75" customHeight="1">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c r="AA900" s="189"/>
      <c r="AB900" s="189"/>
      <c r="AC900" s="189"/>
    </row>
    <row r="901" ht="15.75" customHeight="1">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c r="AA901" s="189"/>
      <c r="AB901" s="189"/>
      <c r="AC901" s="189"/>
    </row>
    <row r="902" ht="15.75" customHeight="1">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c r="AA902" s="189"/>
      <c r="AB902" s="189"/>
      <c r="AC902" s="189"/>
    </row>
    <row r="903" ht="15.75" customHeight="1">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c r="AA903" s="189"/>
      <c r="AB903" s="189"/>
      <c r="AC903" s="189"/>
    </row>
    <row r="904" ht="15.75" customHeight="1">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c r="AA904" s="189"/>
      <c r="AB904" s="189"/>
      <c r="AC904" s="189"/>
    </row>
    <row r="905" ht="15.75" customHeight="1">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c r="AA905" s="189"/>
      <c r="AB905" s="189"/>
      <c r="AC905" s="189"/>
    </row>
    <row r="906" ht="15.75" customHeight="1">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c r="AA906" s="189"/>
      <c r="AB906" s="189"/>
      <c r="AC906" s="189"/>
    </row>
    <row r="907" ht="15.75" customHeight="1">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c r="AA907" s="189"/>
      <c r="AB907" s="189"/>
      <c r="AC907" s="189"/>
    </row>
    <row r="908" ht="15.75" customHeight="1">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c r="AA908" s="189"/>
      <c r="AB908" s="189"/>
      <c r="AC908" s="189"/>
    </row>
    <row r="909" ht="15.75" customHeight="1">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c r="AA909" s="189"/>
      <c r="AB909" s="189"/>
      <c r="AC909" s="189"/>
    </row>
    <row r="910" ht="15.75" customHeight="1">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c r="AA910" s="189"/>
      <c r="AB910" s="189"/>
      <c r="AC910" s="189"/>
    </row>
    <row r="911" ht="15.75" customHeight="1">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c r="AA911" s="189"/>
      <c r="AB911" s="189"/>
      <c r="AC911" s="189"/>
    </row>
    <row r="912" ht="15.75" customHeight="1">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c r="AA912" s="189"/>
      <c r="AB912" s="189"/>
      <c r="AC912" s="189"/>
    </row>
    <row r="913" ht="15.75" customHeight="1">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c r="AA913" s="189"/>
      <c r="AB913" s="189"/>
      <c r="AC913" s="189"/>
    </row>
    <row r="914" ht="15.75" customHeight="1">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c r="AA914" s="189"/>
      <c r="AB914" s="189"/>
      <c r="AC914" s="189"/>
    </row>
    <row r="915" ht="15.75" customHeight="1">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c r="AA915" s="189"/>
      <c r="AB915" s="189"/>
      <c r="AC915" s="189"/>
    </row>
    <row r="916" ht="15.75" customHeight="1">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c r="AA916" s="189"/>
      <c r="AB916" s="189"/>
      <c r="AC916" s="189"/>
    </row>
    <row r="917" ht="15.75" customHeight="1">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c r="AA917" s="189"/>
      <c r="AB917" s="189"/>
      <c r="AC917" s="189"/>
    </row>
    <row r="918" ht="15.75" customHeight="1">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c r="AA918" s="189"/>
      <c r="AB918" s="189"/>
      <c r="AC918" s="189"/>
    </row>
    <row r="919" ht="15.75" customHeight="1">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c r="AA919" s="189"/>
      <c r="AB919" s="189"/>
      <c r="AC919" s="189"/>
    </row>
    <row r="920" ht="15.75" customHeight="1">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c r="AA920" s="189"/>
      <c r="AB920" s="189"/>
      <c r="AC920" s="189"/>
    </row>
    <row r="921" ht="15.75" customHeight="1">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c r="AA921" s="189"/>
      <c r="AB921" s="189"/>
      <c r="AC921" s="189"/>
    </row>
    <row r="922" ht="15.75" customHeight="1">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c r="AA922" s="189"/>
      <c r="AB922" s="189"/>
      <c r="AC922" s="189"/>
    </row>
    <row r="923" ht="15.75" customHeight="1">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c r="AA923" s="189"/>
      <c r="AB923" s="189"/>
      <c r="AC923" s="189"/>
    </row>
    <row r="924" ht="15.75" customHeight="1">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c r="AA924" s="189"/>
      <c r="AB924" s="189"/>
      <c r="AC924" s="189"/>
    </row>
    <row r="925" ht="15.75" customHeight="1">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c r="AA925" s="189"/>
      <c r="AB925" s="189"/>
      <c r="AC925" s="189"/>
    </row>
    <row r="926" ht="15.75" customHeight="1">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c r="AA926" s="189"/>
      <c r="AB926" s="189"/>
      <c r="AC926" s="189"/>
    </row>
    <row r="927" ht="15.75" customHeight="1">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c r="AA927" s="189"/>
      <c r="AB927" s="189"/>
      <c r="AC927" s="189"/>
    </row>
    <row r="928" ht="15.75" customHeight="1">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c r="AA928" s="189"/>
      <c r="AB928" s="189"/>
      <c r="AC928" s="189"/>
    </row>
    <row r="929" ht="15.75" customHeight="1">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c r="AA929" s="189"/>
      <c r="AB929" s="189"/>
      <c r="AC929" s="189"/>
    </row>
    <row r="930" ht="15.75" customHeight="1">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c r="AA930" s="189"/>
      <c r="AB930" s="189"/>
      <c r="AC930" s="189"/>
    </row>
    <row r="931" ht="15.75" customHeight="1">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c r="AA931" s="189"/>
      <c r="AB931" s="189"/>
      <c r="AC931" s="189"/>
    </row>
    <row r="932" ht="15.75" customHeight="1">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c r="AA932" s="189"/>
      <c r="AB932" s="189"/>
      <c r="AC932" s="189"/>
    </row>
    <row r="933" ht="15.75" customHeight="1">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c r="AA933" s="189"/>
      <c r="AB933" s="189"/>
      <c r="AC933" s="189"/>
    </row>
    <row r="934" ht="15.75" customHeight="1">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c r="AA934" s="189"/>
      <c r="AB934" s="189"/>
      <c r="AC934" s="189"/>
    </row>
    <row r="935" ht="15.75" customHeight="1">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c r="AA935" s="189"/>
      <c r="AB935" s="189"/>
      <c r="AC935" s="189"/>
    </row>
    <row r="936" ht="15.75" customHeight="1">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c r="AA936" s="189"/>
      <c r="AB936" s="189"/>
      <c r="AC936" s="189"/>
    </row>
    <row r="937" ht="15.75" customHeight="1">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c r="AA937" s="189"/>
      <c r="AB937" s="189"/>
      <c r="AC937" s="189"/>
    </row>
    <row r="938" ht="15.75" customHeight="1">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c r="AA938" s="189"/>
      <c r="AB938" s="189"/>
      <c r="AC938" s="189"/>
    </row>
    <row r="939" ht="15.75" customHeight="1">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c r="AA939" s="189"/>
      <c r="AB939" s="189"/>
      <c r="AC939" s="189"/>
    </row>
    <row r="940" ht="15.75" customHeight="1">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c r="AA940" s="189"/>
      <c r="AB940" s="189"/>
      <c r="AC940" s="189"/>
    </row>
    <row r="941" ht="15.75" customHeight="1">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c r="AA941" s="189"/>
      <c r="AB941" s="189"/>
      <c r="AC941" s="189"/>
    </row>
    <row r="942" ht="15.75" customHeight="1">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c r="AA942" s="189"/>
      <c r="AB942" s="189"/>
      <c r="AC942" s="189"/>
    </row>
    <row r="943" ht="15.75" customHeight="1">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c r="AA943" s="189"/>
      <c r="AB943" s="189"/>
      <c r="AC943" s="189"/>
    </row>
    <row r="944" ht="15.75" customHeight="1">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c r="AA944" s="189"/>
      <c r="AB944" s="189"/>
      <c r="AC944" s="189"/>
    </row>
    <row r="945" ht="15.75" customHeight="1">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c r="AA945" s="189"/>
      <c r="AB945" s="189"/>
      <c r="AC945" s="189"/>
    </row>
    <row r="946" ht="15.75" customHeight="1">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c r="AA946" s="189"/>
      <c r="AB946" s="189"/>
      <c r="AC946" s="189"/>
    </row>
    <row r="947" ht="15.75" customHeight="1">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c r="AA947" s="189"/>
      <c r="AB947" s="189"/>
      <c r="AC947" s="189"/>
    </row>
    <row r="948" ht="15.75" customHeight="1">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c r="AA948" s="189"/>
      <c r="AB948" s="189"/>
      <c r="AC948" s="189"/>
    </row>
    <row r="949" ht="15.75" customHeight="1">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c r="AA949" s="189"/>
      <c r="AB949" s="189"/>
      <c r="AC949" s="189"/>
    </row>
    <row r="950" ht="15.75" customHeight="1">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c r="AA950" s="189"/>
      <c r="AB950" s="189"/>
      <c r="AC950" s="189"/>
    </row>
    <row r="951" ht="15.75" customHeight="1">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c r="AA951" s="189"/>
      <c r="AB951" s="189"/>
      <c r="AC951" s="189"/>
    </row>
    <row r="952" ht="15.75" customHeight="1">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c r="AA952" s="189"/>
      <c r="AB952" s="189"/>
      <c r="AC952" s="189"/>
    </row>
    <row r="953" ht="15.75" customHeight="1">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c r="AA953" s="189"/>
      <c r="AB953" s="189"/>
      <c r="AC953" s="189"/>
    </row>
    <row r="954" ht="15.75" customHeight="1">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c r="AA954" s="189"/>
      <c r="AB954" s="189"/>
      <c r="AC954" s="189"/>
    </row>
    <row r="955" ht="15.75" customHeight="1">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c r="AA955" s="189"/>
      <c r="AB955" s="189"/>
      <c r="AC955" s="189"/>
    </row>
    <row r="956" ht="15.75" customHeight="1">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c r="AA956" s="189"/>
      <c r="AB956" s="189"/>
      <c r="AC956" s="189"/>
    </row>
    <row r="957" ht="15.75" customHeight="1">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c r="AA957" s="189"/>
      <c r="AB957" s="189"/>
      <c r="AC957" s="189"/>
    </row>
    <row r="958" ht="15.75" customHeight="1">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c r="AA958" s="189"/>
      <c r="AB958" s="189"/>
      <c r="AC958" s="189"/>
    </row>
    <row r="959" ht="15.75" customHeight="1">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c r="AA959" s="189"/>
      <c r="AB959" s="189"/>
      <c r="AC959" s="189"/>
    </row>
    <row r="960" ht="15.75" customHeight="1">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c r="AA960" s="189"/>
      <c r="AB960" s="189"/>
      <c r="AC960" s="189"/>
    </row>
    <row r="961" ht="15.75" customHeight="1">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c r="AA961" s="189"/>
      <c r="AB961" s="189"/>
      <c r="AC961" s="189"/>
    </row>
    <row r="962" ht="15.75" customHeight="1">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c r="AA962" s="189"/>
      <c r="AB962" s="189"/>
      <c r="AC962" s="189"/>
    </row>
    <row r="963" ht="15.75" customHeight="1">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c r="AA963" s="189"/>
      <c r="AB963" s="189"/>
      <c r="AC963" s="189"/>
    </row>
    <row r="964" ht="15.75" customHeight="1">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c r="AA964" s="189"/>
      <c r="AB964" s="189"/>
      <c r="AC964" s="189"/>
    </row>
    <row r="965" ht="15.75" customHeight="1">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c r="AA965" s="189"/>
      <c r="AB965" s="189"/>
      <c r="AC965" s="189"/>
    </row>
    <row r="966" ht="15.75" customHeight="1">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c r="AA966" s="189"/>
      <c r="AB966" s="189"/>
      <c r="AC966" s="189"/>
    </row>
    <row r="967" ht="15.75" customHeight="1">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c r="AA967" s="189"/>
      <c r="AB967" s="189"/>
      <c r="AC967" s="189"/>
    </row>
    <row r="968" ht="15.75" customHeight="1">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c r="AA968" s="189"/>
      <c r="AB968" s="189"/>
      <c r="AC968" s="189"/>
    </row>
    <row r="969" ht="15.75" customHeight="1">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c r="AA969" s="189"/>
      <c r="AB969" s="189"/>
      <c r="AC969" s="189"/>
    </row>
    <row r="970" ht="15.75" customHeight="1">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c r="AA970" s="189"/>
      <c r="AB970" s="189"/>
      <c r="AC970" s="189"/>
    </row>
    <row r="971" ht="15.75" customHeight="1">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c r="AA971" s="189"/>
      <c r="AB971" s="189"/>
      <c r="AC971" s="189"/>
    </row>
    <row r="972" ht="15.75" customHeight="1">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c r="AA972" s="189"/>
      <c r="AB972" s="189"/>
      <c r="AC972" s="189"/>
    </row>
    <row r="973" ht="15.75" customHeight="1">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c r="AA973" s="189"/>
      <c r="AB973" s="189"/>
      <c r="AC973" s="189"/>
    </row>
    <row r="974" ht="15.75" customHeight="1">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c r="AA974" s="189"/>
      <c r="AB974" s="189"/>
      <c r="AC974" s="189"/>
    </row>
    <row r="975" ht="15.75" customHeight="1">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c r="AA975" s="189"/>
      <c r="AB975" s="189"/>
      <c r="AC975" s="189"/>
    </row>
    <row r="976" ht="15.75" customHeight="1">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c r="AA976" s="189"/>
      <c r="AB976" s="189"/>
      <c r="AC976" s="189"/>
    </row>
    <row r="977" ht="15.75" customHeight="1">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c r="AA977" s="189"/>
      <c r="AB977" s="189"/>
      <c r="AC977" s="189"/>
    </row>
    <row r="978" ht="15.75" customHeight="1">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c r="AA978" s="189"/>
      <c r="AB978" s="189"/>
      <c r="AC978" s="189"/>
    </row>
    <row r="979" ht="15.75" customHeight="1">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c r="AA979" s="189"/>
      <c r="AB979" s="189"/>
      <c r="AC979" s="189"/>
    </row>
    <row r="980" ht="15.75" customHeight="1">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c r="AA980" s="189"/>
      <c r="AB980" s="189"/>
      <c r="AC980" s="189"/>
    </row>
    <row r="981" ht="15.75" customHeight="1">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c r="AA981" s="189"/>
      <c r="AB981" s="189"/>
      <c r="AC981" s="189"/>
    </row>
    <row r="982" ht="15.75" customHeight="1">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c r="AA982" s="189"/>
      <c r="AB982" s="189"/>
      <c r="AC982" s="189"/>
    </row>
    <row r="983" ht="15.75" customHeight="1">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c r="AA983" s="189"/>
      <c r="AB983" s="189"/>
      <c r="AC983" s="189"/>
    </row>
    <row r="984" ht="15.75" customHeight="1">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c r="AA984" s="189"/>
      <c r="AB984" s="189"/>
      <c r="AC984" s="189"/>
    </row>
    <row r="985" ht="15.75" customHeight="1">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c r="AA985" s="189"/>
      <c r="AB985" s="189"/>
      <c r="AC985" s="189"/>
    </row>
    <row r="986" ht="15.75" customHeight="1">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c r="AA986" s="189"/>
      <c r="AB986" s="189"/>
      <c r="AC986" s="189"/>
    </row>
    <row r="987" ht="15.75" customHeight="1">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c r="AA987" s="189"/>
      <c r="AB987" s="189"/>
      <c r="AC987" s="189"/>
    </row>
    <row r="988" ht="15.75" customHeight="1">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c r="AA988" s="189"/>
      <c r="AB988" s="189"/>
      <c r="AC988" s="189"/>
    </row>
    <row r="989" ht="15.75" customHeight="1">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c r="AA989" s="189"/>
      <c r="AB989" s="189"/>
      <c r="AC989" s="189"/>
    </row>
    <row r="990" ht="15.75" customHeight="1">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c r="AA990" s="189"/>
      <c r="AB990" s="189"/>
      <c r="AC990" s="189"/>
    </row>
    <row r="991" ht="15.75" customHeight="1">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c r="AA991" s="189"/>
      <c r="AB991" s="189"/>
      <c r="AC991" s="189"/>
    </row>
    <row r="992" ht="15.75" customHeight="1">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c r="AA992" s="189"/>
      <c r="AB992" s="189"/>
      <c r="AC992" s="189"/>
    </row>
    <row r="993" ht="15.75" customHeight="1">
      <c r="A993" s="189"/>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c r="AA993" s="189"/>
      <c r="AB993" s="189"/>
      <c r="AC993" s="189"/>
    </row>
    <row r="994" ht="15.75" customHeight="1">
      <c r="A994" s="189"/>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c r="AA994" s="189"/>
      <c r="AB994" s="189"/>
      <c r="AC994" s="189"/>
    </row>
    <row r="995" ht="15.75" customHeight="1">
      <c r="A995" s="189"/>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c r="AA995" s="189"/>
      <c r="AB995" s="189"/>
      <c r="AC995" s="189"/>
    </row>
    <row r="996" ht="15.75" customHeight="1">
      <c r="A996" s="189"/>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c r="AA996" s="189"/>
      <c r="AB996" s="189"/>
      <c r="AC996" s="189"/>
    </row>
    <row r="997" ht="15.75" customHeight="1">
      <c r="A997" s="189"/>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c r="AA997" s="189"/>
      <c r="AB997" s="189"/>
      <c r="AC997" s="189"/>
    </row>
    <row r="998" ht="15.75" customHeight="1">
      <c r="A998" s="189"/>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c r="AA998" s="189"/>
      <c r="AB998" s="189"/>
      <c r="AC998" s="189"/>
    </row>
    <row r="999" ht="15.75" customHeight="1">
      <c r="A999" s="189"/>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c r="AA999" s="189"/>
      <c r="AB999" s="189"/>
      <c r="AC999" s="189"/>
    </row>
    <row r="1000" ht="15.75" customHeight="1">
      <c r="A1000" s="189"/>
      <c r="B1000" s="189"/>
      <c r="C1000" s="189"/>
      <c r="D1000" s="189"/>
      <c r="E1000" s="189"/>
      <c r="F1000" s="189"/>
      <c r="G1000" s="189"/>
      <c r="H1000" s="189"/>
      <c r="I1000" s="189"/>
      <c r="J1000" s="189"/>
      <c r="K1000" s="189"/>
      <c r="L1000" s="189"/>
      <c r="M1000" s="189"/>
      <c r="N1000" s="189"/>
      <c r="O1000" s="189"/>
      <c r="P1000" s="189"/>
      <c r="Q1000" s="189"/>
      <c r="R1000" s="189"/>
      <c r="S1000" s="189"/>
      <c r="T1000" s="189"/>
      <c r="U1000" s="189"/>
      <c r="V1000" s="189"/>
      <c r="W1000" s="189"/>
      <c r="X1000" s="189"/>
      <c r="Y1000" s="189"/>
      <c r="Z1000" s="189"/>
      <c r="AA1000" s="189"/>
      <c r="AB1000" s="189"/>
      <c r="AC1000" s="189"/>
    </row>
  </sheetData>
  <mergeCells count="727">
    <mergeCell ref="M18:O18"/>
    <mergeCell ref="P18:R18"/>
    <mergeCell ref="M19:O19"/>
    <mergeCell ref="P19:R19"/>
    <mergeCell ref="S19:T19"/>
    <mergeCell ref="M20:O20"/>
    <mergeCell ref="P20:R20"/>
    <mergeCell ref="S20:T20"/>
    <mergeCell ref="F18:I18"/>
    <mergeCell ref="J18:L18"/>
    <mergeCell ref="C19:E19"/>
    <mergeCell ref="F19:I19"/>
    <mergeCell ref="J19:L19"/>
    <mergeCell ref="F20:I20"/>
    <mergeCell ref="J20:L20"/>
    <mergeCell ref="H10:M10"/>
    <mergeCell ref="N10:O11"/>
    <mergeCell ref="P10:T11"/>
    <mergeCell ref="H11:M11"/>
    <mergeCell ref="A1:T4"/>
    <mergeCell ref="E6:F6"/>
    <mergeCell ref="L6:M6"/>
    <mergeCell ref="E7:H7"/>
    <mergeCell ref="L7:M7"/>
    <mergeCell ref="R7:T7"/>
    <mergeCell ref="B9:T9"/>
    <mergeCell ref="B10:E13"/>
    <mergeCell ref="F10:G10"/>
    <mergeCell ref="F11:G11"/>
    <mergeCell ref="J12:L13"/>
    <mergeCell ref="M12:O13"/>
    <mergeCell ref="P12:R13"/>
    <mergeCell ref="S12:T13"/>
    <mergeCell ref="F12:I13"/>
    <mergeCell ref="B14:T14"/>
    <mergeCell ref="F15:I15"/>
    <mergeCell ref="J15:L15"/>
    <mergeCell ref="M15:O15"/>
    <mergeCell ref="P15:R15"/>
    <mergeCell ref="S15:T15"/>
    <mergeCell ref="C15:E15"/>
    <mergeCell ref="C16:E16"/>
    <mergeCell ref="F16:I16"/>
    <mergeCell ref="J16:L16"/>
    <mergeCell ref="M16:O16"/>
    <mergeCell ref="P16:R16"/>
    <mergeCell ref="S16:T16"/>
    <mergeCell ref="C17:E17"/>
    <mergeCell ref="F17:I17"/>
    <mergeCell ref="J17:L17"/>
    <mergeCell ref="M17:O17"/>
    <mergeCell ref="P17:R17"/>
    <mergeCell ref="S17:T17"/>
    <mergeCell ref="C18:E18"/>
    <mergeCell ref="S18:T18"/>
    <mergeCell ref="C20:E20"/>
    <mergeCell ref="C21:E21"/>
    <mergeCell ref="F21:I21"/>
    <mergeCell ref="J21:L21"/>
    <mergeCell ref="M21:O21"/>
    <mergeCell ref="P21:R21"/>
    <mergeCell ref="S21:T21"/>
    <mergeCell ref="F33:I33"/>
    <mergeCell ref="J33:L33"/>
    <mergeCell ref="C32:E32"/>
    <mergeCell ref="F32:I32"/>
    <mergeCell ref="J32:L32"/>
    <mergeCell ref="M32:O32"/>
    <mergeCell ref="P32:R32"/>
    <mergeCell ref="S32:T32"/>
    <mergeCell ref="C33:E33"/>
    <mergeCell ref="S33:T33"/>
    <mergeCell ref="M33:O33"/>
    <mergeCell ref="P33:R33"/>
    <mergeCell ref="F34:I34"/>
    <mergeCell ref="J34:L34"/>
    <mergeCell ref="M34:O34"/>
    <mergeCell ref="P34:R34"/>
    <mergeCell ref="S34:T34"/>
    <mergeCell ref="C34:E34"/>
    <mergeCell ref="C35:E35"/>
    <mergeCell ref="F35:I35"/>
    <mergeCell ref="J35:L35"/>
    <mergeCell ref="M35:O35"/>
    <mergeCell ref="P35:R35"/>
    <mergeCell ref="S35:T35"/>
    <mergeCell ref="F37:I37"/>
    <mergeCell ref="J37:L37"/>
    <mergeCell ref="C36:E36"/>
    <mergeCell ref="F36:I36"/>
    <mergeCell ref="J36:L36"/>
    <mergeCell ref="M36:O36"/>
    <mergeCell ref="P36:R36"/>
    <mergeCell ref="S36:T36"/>
    <mergeCell ref="C37:E37"/>
    <mergeCell ref="S37:T37"/>
    <mergeCell ref="M37:O37"/>
    <mergeCell ref="P37:R37"/>
    <mergeCell ref="F38:I38"/>
    <mergeCell ref="J38:L38"/>
    <mergeCell ref="M38:O38"/>
    <mergeCell ref="P38:R38"/>
    <mergeCell ref="S38:T38"/>
    <mergeCell ref="C38:E38"/>
    <mergeCell ref="C39:E39"/>
    <mergeCell ref="F39:I39"/>
    <mergeCell ref="J39:L39"/>
    <mergeCell ref="M39:O39"/>
    <mergeCell ref="P39:R39"/>
    <mergeCell ref="S39:T39"/>
    <mergeCell ref="F41:I41"/>
    <mergeCell ref="J41:L41"/>
    <mergeCell ref="C40:E40"/>
    <mergeCell ref="F40:I40"/>
    <mergeCell ref="J40:L40"/>
    <mergeCell ref="M40:O40"/>
    <mergeCell ref="P40:R40"/>
    <mergeCell ref="S40:T40"/>
    <mergeCell ref="C41:E41"/>
    <mergeCell ref="P42:R42"/>
    <mergeCell ref="S42:T42"/>
    <mergeCell ref="M41:O41"/>
    <mergeCell ref="P41:R41"/>
    <mergeCell ref="S41:T41"/>
    <mergeCell ref="C42:E42"/>
    <mergeCell ref="F42:I42"/>
    <mergeCell ref="J42:L42"/>
    <mergeCell ref="M42:O42"/>
    <mergeCell ref="F44:I44"/>
    <mergeCell ref="J44:L44"/>
    <mergeCell ref="C43:E43"/>
    <mergeCell ref="F43:I43"/>
    <mergeCell ref="J43:L43"/>
    <mergeCell ref="M43:O43"/>
    <mergeCell ref="P43:R43"/>
    <mergeCell ref="S43:T43"/>
    <mergeCell ref="C44:E44"/>
    <mergeCell ref="S44:T44"/>
    <mergeCell ref="M44:O44"/>
    <mergeCell ref="P44:R44"/>
    <mergeCell ref="F45:I45"/>
    <mergeCell ref="J45:L45"/>
    <mergeCell ref="M45:O45"/>
    <mergeCell ref="P45:R45"/>
    <mergeCell ref="S45:T45"/>
    <mergeCell ref="C45:E45"/>
    <mergeCell ref="C46:E46"/>
    <mergeCell ref="F46:I46"/>
    <mergeCell ref="J46:L46"/>
    <mergeCell ref="M46:O46"/>
    <mergeCell ref="P46:R46"/>
    <mergeCell ref="S46:T46"/>
    <mergeCell ref="F48:I48"/>
    <mergeCell ref="J48:L48"/>
    <mergeCell ref="C47:E47"/>
    <mergeCell ref="F47:I47"/>
    <mergeCell ref="J47:L47"/>
    <mergeCell ref="M47:O47"/>
    <mergeCell ref="P47:R47"/>
    <mergeCell ref="S47:T47"/>
    <mergeCell ref="C48:E48"/>
    <mergeCell ref="S48:T48"/>
    <mergeCell ref="M48:O48"/>
    <mergeCell ref="P48:R48"/>
    <mergeCell ref="F49:I49"/>
    <mergeCell ref="J49:L49"/>
    <mergeCell ref="M49:O49"/>
    <mergeCell ref="P49:R49"/>
    <mergeCell ref="S49:T49"/>
    <mergeCell ref="C49:E49"/>
    <mergeCell ref="C50:E50"/>
    <mergeCell ref="F50:I50"/>
    <mergeCell ref="J50:L50"/>
    <mergeCell ref="M50:O50"/>
    <mergeCell ref="P50:R50"/>
    <mergeCell ref="S50:T50"/>
    <mergeCell ref="F52:I52"/>
    <mergeCell ref="J52:L52"/>
    <mergeCell ref="C51:E51"/>
    <mergeCell ref="F51:I51"/>
    <mergeCell ref="J51:L51"/>
    <mergeCell ref="M51:O51"/>
    <mergeCell ref="P51:R51"/>
    <mergeCell ref="S51:T51"/>
    <mergeCell ref="C52:E52"/>
    <mergeCell ref="S52:T52"/>
    <mergeCell ref="M52:O52"/>
    <mergeCell ref="P52:R52"/>
    <mergeCell ref="F53:I53"/>
    <mergeCell ref="J53:L53"/>
    <mergeCell ref="M53:O53"/>
    <mergeCell ref="P53:R53"/>
    <mergeCell ref="S53:T53"/>
    <mergeCell ref="C53:E53"/>
    <mergeCell ref="C54:E54"/>
    <mergeCell ref="F54:I54"/>
    <mergeCell ref="J54:L54"/>
    <mergeCell ref="M54:O54"/>
    <mergeCell ref="P54:R54"/>
    <mergeCell ref="S54:T54"/>
    <mergeCell ref="F69:I69"/>
    <mergeCell ref="J69:L69"/>
    <mergeCell ref="C70:E70"/>
    <mergeCell ref="F70:I70"/>
    <mergeCell ref="J70:L70"/>
    <mergeCell ref="F71:I71"/>
    <mergeCell ref="J71:L71"/>
    <mergeCell ref="C71:E71"/>
    <mergeCell ref="C72:E72"/>
    <mergeCell ref="F72:I72"/>
    <mergeCell ref="J72:L72"/>
    <mergeCell ref="M72:O72"/>
    <mergeCell ref="P72:R72"/>
    <mergeCell ref="S72:T72"/>
    <mergeCell ref="F64:I64"/>
    <mergeCell ref="J64:L64"/>
    <mergeCell ref="C63:E63"/>
    <mergeCell ref="F63:I63"/>
    <mergeCell ref="J63:L63"/>
    <mergeCell ref="M63:O63"/>
    <mergeCell ref="P63:R63"/>
    <mergeCell ref="S63:T63"/>
    <mergeCell ref="S64:T64"/>
    <mergeCell ref="C64:E64"/>
    <mergeCell ref="B65:T65"/>
    <mergeCell ref="F66:I66"/>
    <mergeCell ref="J66:L66"/>
    <mergeCell ref="M66:O66"/>
    <mergeCell ref="P66:R66"/>
    <mergeCell ref="S66:T66"/>
    <mergeCell ref="C66:E66"/>
    <mergeCell ref="C67:E67"/>
    <mergeCell ref="F67:I67"/>
    <mergeCell ref="J67:L67"/>
    <mergeCell ref="M67:O67"/>
    <mergeCell ref="P67:R67"/>
    <mergeCell ref="S67:T67"/>
    <mergeCell ref="M69:O69"/>
    <mergeCell ref="P69:R69"/>
    <mergeCell ref="M70:O70"/>
    <mergeCell ref="P70:R70"/>
    <mergeCell ref="S70:T70"/>
    <mergeCell ref="M71:O71"/>
    <mergeCell ref="P71:R71"/>
    <mergeCell ref="S71:T71"/>
    <mergeCell ref="C68:E68"/>
    <mergeCell ref="F68:I68"/>
    <mergeCell ref="J68:L68"/>
    <mergeCell ref="M68:O68"/>
    <mergeCell ref="P68:R68"/>
    <mergeCell ref="S68:T68"/>
    <mergeCell ref="C69:E69"/>
    <mergeCell ref="S69:T69"/>
    <mergeCell ref="M74:O74"/>
    <mergeCell ref="P74:R74"/>
    <mergeCell ref="S74:T74"/>
    <mergeCell ref="F28:I28"/>
    <mergeCell ref="J28:L28"/>
    <mergeCell ref="C29:E29"/>
    <mergeCell ref="F29:I29"/>
    <mergeCell ref="J29:L29"/>
    <mergeCell ref="F30:I30"/>
    <mergeCell ref="J30:L30"/>
    <mergeCell ref="C30:E30"/>
    <mergeCell ref="C31:E31"/>
    <mergeCell ref="F31:I31"/>
    <mergeCell ref="J31:L31"/>
    <mergeCell ref="M31:O31"/>
    <mergeCell ref="P31:R31"/>
    <mergeCell ref="S31:T31"/>
    <mergeCell ref="F56:I56"/>
    <mergeCell ref="J56:L56"/>
    <mergeCell ref="C55:E55"/>
    <mergeCell ref="F55:I55"/>
    <mergeCell ref="J55:L55"/>
    <mergeCell ref="M55:O55"/>
    <mergeCell ref="P55:R55"/>
    <mergeCell ref="S55:T55"/>
    <mergeCell ref="C56:E56"/>
    <mergeCell ref="S56:T56"/>
    <mergeCell ref="M56:O56"/>
    <mergeCell ref="P56:R56"/>
    <mergeCell ref="F57:I57"/>
    <mergeCell ref="J57:L57"/>
    <mergeCell ref="M57:O57"/>
    <mergeCell ref="P57:R57"/>
    <mergeCell ref="S57:T57"/>
    <mergeCell ref="C57:E57"/>
    <mergeCell ref="C58:E58"/>
    <mergeCell ref="F58:I58"/>
    <mergeCell ref="J58:L58"/>
    <mergeCell ref="M58:O58"/>
    <mergeCell ref="P58:R58"/>
    <mergeCell ref="S58:T58"/>
    <mergeCell ref="F60:I60"/>
    <mergeCell ref="J60:L60"/>
    <mergeCell ref="C59:E59"/>
    <mergeCell ref="F59:I59"/>
    <mergeCell ref="J59:L59"/>
    <mergeCell ref="M59:O59"/>
    <mergeCell ref="P59:R59"/>
    <mergeCell ref="S59:T59"/>
    <mergeCell ref="C60:E60"/>
    <mergeCell ref="S60:T60"/>
    <mergeCell ref="M60:O60"/>
    <mergeCell ref="P60:R60"/>
    <mergeCell ref="F61:I61"/>
    <mergeCell ref="J61:L61"/>
    <mergeCell ref="M61:O61"/>
    <mergeCell ref="P61:R61"/>
    <mergeCell ref="S61:T61"/>
    <mergeCell ref="C61:E61"/>
    <mergeCell ref="C62:E62"/>
    <mergeCell ref="F62:I62"/>
    <mergeCell ref="J62:L62"/>
    <mergeCell ref="M62:O62"/>
    <mergeCell ref="P62:R62"/>
    <mergeCell ref="S62:T62"/>
    <mergeCell ref="M23:O23"/>
    <mergeCell ref="P23:R23"/>
    <mergeCell ref="M24:O24"/>
    <mergeCell ref="P24:R24"/>
    <mergeCell ref="S24:T24"/>
    <mergeCell ref="M25:O25"/>
    <mergeCell ref="P25:R25"/>
    <mergeCell ref="S25:T25"/>
    <mergeCell ref="C22:E22"/>
    <mergeCell ref="F22:I22"/>
    <mergeCell ref="J22:L22"/>
    <mergeCell ref="M22:O22"/>
    <mergeCell ref="P22:R22"/>
    <mergeCell ref="S22:T22"/>
    <mergeCell ref="C23:E23"/>
    <mergeCell ref="S23:T23"/>
    <mergeCell ref="F23:I23"/>
    <mergeCell ref="J23:L23"/>
    <mergeCell ref="C24:E24"/>
    <mergeCell ref="F24:I24"/>
    <mergeCell ref="J24:L24"/>
    <mergeCell ref="F25:I25"/>
    <mergeCell ref="J25:L25"/>
    <mergeCell ref="C25:E25"/>
    <mergeCell ref="C26:E26"/>
    <mergeCell ref="F26:I26"/>
    <mergeCell ref="J26:L26"/>
    <mergeCell ref="M26:O26"/>
    <mergeCell ref="P26:R26"/>
    <mergeCell ref="S26:T26"/>
    <mergeCell ref="M28:O28"/>
    <mergeCell ref="P28:R28"/>
    <mergeCell ref="M29:O29"/>
    <mergeCell ref="P29:R29"/>
    <mergeCell ref="S29:T29"/>
    <mergeCell ref="M30:O30"/>
    <mergeCell ref="P30:R30"/>
    <mergeCell ref="S30:T30"/>
    <mergeCell ref="C27:E27"/>
    <mergeCell ref="F27:I27"/>
    <mergeCell ref="J27:L27"/>
    <mergeCell ref="M27:O27"/>
    <mergeCell ref="P27:R27"/>
    <mergeCell ref="S27:T27"/>
    <mergeCell ref="C28:E28"/>
    <mergeCell ref="S28:T28"/>
    <mergeCell ref="M64:O64"/>
    <mergeCell ref="P64:R64"/>
    <mergeCell ref="C73:E73"/>
    <mergeCell ref="F73:I73"/>
    <mergeCell ref="J73:L73"/>
    <mergeCell ref="M73:O73"/>
    <mergeCell ref="P73:R73"/>
    <mergeCell ref="S73:T73"/>
    <mergeCell ref="C74:E74"/>
    <mergeCell ref="F74:I74"/>
    <mergeCell ref="J74:L74"/>
    <mergeCell ref="F75:I75"/>
    <mergeCell ref="J75:L75"/>
    <mergeCell ref="M75:O75"/>
    <mergeCell ref="P75:R75"/>
    <mergeCell ref="S75:T75"/>
    <mergeCell ref="C75:E75"/>
    <mergeCell ref="C76:E76"/>
    <mergeCell ref="F76:I76"/>
    <mergeCell ref="J76:L76"/>
    <mergeCell ref="M76:O76"/>
    <mergeCell ref="P76:R76"/>
    <mergeCell ref="S76:T76"/>
    <mergeCell ref="M78:O78"/>
    <mergeCell ref="P78:R78"/>
    <mergeCell ref="M79:O79"/>
    <mergeCell ref="P79:R79"/>
    <mergeCell ref="S79:T79"/>
    <mergeCell ref="M80:O80"/>
    <mergeCell ref="P80:R80"/>
    <mergeCell ref="S80:T80"/>
    <mergeCell ref="C77:E77"/>
    <mergeCell ref="F77:I77"/>
    <mergeCell ref="J77:L77"/>
    <mergeCell ref="M77:O77"/>
    <mergeCell ref="P77:R77"/>
    <mergeCell ref="S77:T77"/>
    <mergeCell ref="C78:E78"/>
    <mergeCell ref="S78:T78"/>
    <mergeCell ref="F78:I78"/>
    <mergeCell ref="J78:L78"/>
    <mergeCell ref="C79:E79"/>
    <mergeCell ref="F79:I79"/>
    <mergeCell ref="J79:L79"/>
    <mergeCell ref="F80:I80"/>
    <mergeCell ref="J80:L80"/>
    <mergeCell ref="C80:E80"/>
    <mergeCell ref="C81:E81"/>
    <mergeCell ref="F81:I81"/>
    <mergeCell ref="J81:L81"/>
    <mergeCell ref="M81:O81"/>
    <mergeCell ref="P81:R81"/>
    <mergeCell ref="S81:T81"/>
    <mergeCell ref="F88:I88"/>
    <mergeCell ref="J88:L88"/>
    <mergeCell ref="C89:E89"/>
    <mergeCell ref="F89:I89"/>
    <mergeCell ref="J89:L89"/>
    <mergeCell ref="F90:I90"/>
    <mergeCell ref="J90:L90"/>
    <mergeCell ref="C90:E90"/>
    <mergeCell ref="C91:E91"/>
    <mergeCell ref="F91:I91"/>
    <mergeCell ref="J91:L91"/>
    <mergeCell ref="M91:O91"/>
    <mergeCell ref="P91:R91"/>
    <mergeCell ref="S91:T91"/>
    <mergeCell ref="M83:O83"/>
    <mergeCell ref="P83:R83"/>
    <mergeCell ref="M84:O84"/>
    <mergeCell ref="P84:R84"/>
    <mergeCell ref="S84:T84"/>
    <mergeCell ref="M85:O85"/>
    <mergeCell ref="P85:R85"/>
    <mergeCell ref="S85:T85"/>
    <mergeCell ref="C82:E82"/>
    <mergeCell ref="F82:I82"/>
    <mergeCell ref="J82:L82"/>
    <mergeCell ref="M82:O82"/>
    <mergeCell ref="P82:R82"/>
    <mergeCell ref="S82:T82"/>
    <mergeCell ref="C83:E83"/>
    <mergeCell ref="S83:T83"/>
    <mergeCell ref="F83:I83"/>
    <mergeCell ref="J83:L83"/>
    <mergeCell ref="C84:E84"/>
    <mergeCell ref="F84:I84"/>
    <mergeCell ref="J84:L84"/>
    <mergeCell ref="F85:I85"/>
    <mergeCell ref="J85:L85"/>
    <mergeCell ref="C85:E85"/>
    <mergeCell ref="C86:E86"/>
    <mergeCell ref="F86:I86"/>
    <mergeCell ref="J86:L86"/>
    <mergeCell ref="M86:O86"/>
    <mergeCell ref="P86:R86"/>
    <mergeCell ref="S86:T86"/>
    <mergeCell ref="M88:O88"/>
    <mergeCell ref="P88:R88"/>
    <mergeCell ref="M89:O89"/>
    <mergeCell ref="P89:R89"/>
    <mergeCell ref="S89:T89"/>
    <mergeCell ref="M90:O90"/>
    <mergeCell ref="P90:R90"/>
    <mergeCell ref="S90:T90"/>
    <mergeCell ref="C87:E87"/>
    <mergeCell ref="F87:I87"/>
    <mergeCell ref="J87:L87"/>
    <mergeCell ref="M87:O87"/>
    <mergeCell ref="P87:R87"/>
    <mergeCell ref="S87:T87"/>
    <mergeCell ref="C88:E88"/>
    <mergeCell ref="S88:T88"/>
    <mergeCell ref="M105:O105"/>
    <mergeCell ref="P105:R105"/>
    <mergeCell ref="S105:T105"/>
    <mergeCell ref="P117:R117"/>
    <mergeCell ref="S117:T117"/>
    <mergeCell ref="P118:R118"/>
    <mergeCell ref="S118:T118"/>
    <mergeCell ref="P119:R119"/>
    <mergeCell ref="S119:T119"/>
    <mergeCell ref="S120:T120"/>
    <mergeCell ref="P120:R120"/>
    <mergeCell ref="P121:R121"/>
    <mergeCell ref="S121:T121"/>
    <mergeCell ref="P122:R122"/>
    <mergeCell ref="S122:T122"/>
    <mergeCell ref="P123:R123"/>
    <mergeCell ref="S123:T123"/>
    <mergeCell ref="P127:R127"/>
    <mergeCell ref="P128:R128"/>
    <mergeCell ref="S128:T128"/>
    <mergeCell ref="P124:R124"/>
    <mergeCell ref="S124:T124"/>
    <mergeCell ref="P125:R125"/>
    <mergeCell ref="S125:T125"/>
    <mergeCell ref="P126:R126"/>
    <mergeCell ref="S126:T126"/>
    <mergeCell ref="S127:T127"/>
    <mergeCell ref="L130:M130"/>
    <mergeCell ref="L131:M131"/>
    <mergeCell ref="L123:M123"/>
    <mergeCell ref="L124:M124"/>
    <mergeCell ref="L125:M125"/>
    <mergeCell ref="L126:M126"/>
    <mergeCell ref="L127:M127"/>
    <mergeCell ref="L128:M128"/>
    <mergeCell ref="L129:M129"/>
    <mergeCell ref="L132:M132"/>
    <mergeCell ref="L133:M133"/>
    <mergeCell ref="L116:M116"/>
    <mergeCell ref="L117:M117"/>
    <mergeCell ref="L118:M118"/>
    <mergeCell ref="L119:M119"/>
    <mergeCell ref="L120:M120"/>
    <mergeCell ref="L121:M121"/>
    <mergeCell ref="L122:M122"/>
    <mergeCell ref="P129:R129"/>
    <mergeCell ref="S129:T129"/>
    <mergeCell ref="P130:R130"/>
    <mergeCell ref="S130:T130"/>
    <mergeCell ref="P131:R131"/>
    <mergeCell ref="S131:T131"/>
    <mergeCell ref="S132:T132"/>
    <mergeCell ref="P132:R132"/>
    <mergeCell ref="P133:R133"/>
    <mergeCell ref="S133:T133"/>
    <mergeCell ref="P134:R134"/>
    <mergeCell ref="S134:T134"/>
    <mergeCell ref="P135:R135"/>
    <mergeCell ref="S135:T135"/>
    <mergeCell ref="P141:R141"/>
    <mergeCell ref="P142:R142"/>
    <mergeCell ref="P145:R145"/>
    <mergeCell ref="P136:R136"/>
    <mergeCell ref="S136:T136"/>
    <mergeCell ref="P137:R137"/>
    <mergeCell ref="S137:T137"/>
    <mergeCell ref="P138:R138"/>
    <mergeCell ref="P139:R139"/>
    <mergeCell ref="P140:R140"/>
    <mergeCell ref="F144:J144"/>
    <mergeCell ref="F145:J145"/>
    <mergeCell ref="F146:J146"/>
    <mergeCell ref="F147:J147"/>
    <mergeCell ref="F148:J148"/>
    <mergeCell ref="F136:J136"/>
    <mergeCell ref="F137:J137"/>
    <mergeCell ref="F138:J138"/>
    <mergeCell ref="F139:J139"/>
    <mergeCell ref="F140:J140"/>
    <mergeCell ref="F141:J141"/>
    <mergeCell ref="F142:J142"/>
    <mergeCell ref="C113:E113"/>
    <mergeCell ref="F113:I113"/>
    <mergeCell ref="J113:L113"/>
    <mergeCell ref="M113:O113"/>
    <mergeCell ref="P113:R113"/>
    <mergeCell ref="S113:T113"/>
    <mergeCell ref="C114:E114"/>
    <mergeCell ref="S114:T114"/>
    <mergeCell ref="M114:O114"/>
    <mergeCell ref="P114:R114"/>
    <mergeCell ref="M115:O115"/>
    <mergeCell ref="P115:R115"/>
    <mergeCell ref="S115:T115"/>
    <mergeCell ref="P116:R116"/>
    <mergeCell ref="S116:T116"/>
    <mergeCell ref="F114:I114"/>
    <mergeCell ref="J114:L114"/>
    <mergeCell ref="C115:E115"/>
    <mergeCell ref="F115:I115"/>
    <mergeCell ref="J115:L115"/>
    <mergeCell ref="F116:J116"/>
    <mergeCell ref="F117:J117"/>
    <mergeCell ref="F118:J118"/>
    <mergeCell ref="F119:J119"/>
    <mergeCell ref="F120:J120"/>
    <mergeCell ref="F121:J121"/>
    <mergeCell ref="F122:J122"/>
    <mergeCell ref="F123:J123"/>
    <mergeCell ref="F124:J124"/>
    <mergeCell ref="F125:J125"/>
    <mergeCell ref="F126:J126"/>
    <mergeCell ref="F127:J127"/>
    <mergeCell ref="F128:J128"/>
    <mergeCell ref="F129:J129"/>
    <mergeCell ref="F130:J130"/>
    <mergeCell ref="F131:J131"/>
    <mergeCell ref="F132:J132"/>
    <mergeCell ref="F133:J133"/>
    <mergeCell ref="F134:J134"/>
    <mergeCell ref="L134:M134"/>
    <mergeCell ref="F135:J135"/>
    <mergeCell ref="L135:M135"/>
    <mergeCell ref="L136:M136"/>
    <mergeCell ref="F143:J143"/>
    <mergeCell ref="P143:R143"/>
    <mergeCell ref="P144:R144"/>
    <mergeCell ref="F93:I93"/>
    <mergeCell ref="J93:L93"/>
    <mergeCell ref="C92:E92"/>
    <mergeCell ref="F92:I92"/>
    <mergeCell ref="J92:L92"/>
    <mergeCell ref="M92:O92"/>
    <mergeCell ref="P92:R92"/>
    <mergeCell ref="S92:T92"/>
    <mergeCell ref="C93:E93"/>
    <mergeCell ref="S93:T93"/>
    <mergeCell ref="M93:O93"/>
    <mergeCell ref="P93:R93"/>
    <mergeCell ref="F94:I94"/>
    <mergeCell ref="J94:L94"/>
    <mergeCell ref="M94:O94"/>
    <mergeCell ref="P94:R94"/>
    <mergeCell ref="S94:T94"/>
    <mergeCell ref="C94:E94"/>
    <mergeCell ref="C95:E95"/>
    <mergeCell ref="F95:I95"/>
    <mergeCell ref="J95:L95"/>
    <mergeCell ref="M95:O95"/>
    <mergeCell ref="P95:R95"/>
    <mergeCell ref="S95:T95"/>
    <mergeCell ref="F97:I97"/>
    <mergeCell ref="J97:L97"/>
    <mergeCell ref="C96:E96"/>
    <mergeCell ref="F96:I96"/>
    <mergeCell ref="J96:L96"/>
    <mergeCell ref="M96:O96"/>
    <mergeCell ref="P96:R96"/>
    <mergeCell ref="S96:T96"/>
    <mergeCell ref="C97:E97"/>
    <mergeCell ref="S97:T97"/>
    <mergeCell ref="M97:O97"/>
    <mergeCell ref="P97:R97"/>
    <mergeCell ref="F98:I98"/>
    <mergeCell ref="J98:L98"/>
    <mergeCell ref="M98:O98"/>
    <mergeCell ref="P98:R98"/>
    <mergeCell ref="S98:T98"/>
    <mergeCell ref="C98:E98"/>
    <mergeCell ref="C99:E99"/>
    <mergeCell ref="F99:I99"/>
    <mergeCell ref="J99:L99"/>
    <mergeCell ref="M99:O99"/>
    <mergeCell ref="P99:R99"/>
    <mergeCell ref="S99:T99"/>
    <mergeCell ref="F101:I101"/>
    <mergeCell ref="J101:L101"/>
    <mergeCell ref="C100:E100"/>
    <mergeCell ref="F100:I100"/>
    <mergeCell ref="J100:L100"/>
    <mergeCell ref="M100:O100"/>
    <mergeCell ref="P100:R100"/>
    <mergeCell ref="S100:T100"/>
    <mergeCell ref="C101:E101"/>
    <mergeCell ref="S101:T101"/>
    <mergeCell ref="M101:O101"/>
    <mergeCell ref="P101:R101"/>
    <mergeCell ref="F102:I102"/>
    <mergeCell ref="J102:L102"/>
    <mergeCell ref="M102:O102"/>
    <mergeCell ref="P102:R102"/>
    <mergeCell ref="S102:T102"/>
    <mergeCell ref="C102:E102"/>
    <mergeCell ref="C103:E103"/>
    <mergeCell ref="F103:I103"/>
    <mergeCell ref="J103:L103"/>
    <mergeCell ref="M103:O103"/>
    <mergeCell ref="P103:R103"/>
    <mergeCell ref="S103:T103"/>
    <mergeCell ref="C104:E104"/>
    <mergeCell ref="F104:I104"/>
    <mergeCell ref="J104:L104"/>
    <mergeCell ref="M104:O104"/>
    <mergeCell ref="P104:R104"/>
    <mergeCell ref="S104:T104"/>
    <mergeCell ref="C105:E105"/>
    <mergeCell ref="F105:I105"/>
    <mergeCell ref="J105:L105"/>
    <mergeCell ref="F106:I106"/>
    <mergeCell ref="J106:L106"/>
    <mergeCell ref="M106:O106"/>
    <mergeCell ref="P106:R106"/>
    <mergeCell ref="S106:T106"/>
    <mergeCell ref="C106:E106"/>
    <mergeCell ref="C107:E107"/>
    <mergeCell ref="F107:I107"/>
    <mergeCell ref="J107:L107"/>
    <mergeCell ref="M107:O107"/>
    <mergeCell ref="P107:R107"/>
    <mergeCell ref="S107:T107"/>
    <mergeCell ref="M109:O109"/>
    <mergeCell ref="P109:R109"/>
    <mergeCell ref="M110:O110"/>
    <mergeCell ref="P110:R110"/>
    <mergeCell ref="S110:T110"/>
    <mergeCell ref="M111:O111"/>
    <mergeCell ref="P111:R111"/>
    <mergeCell ref="S111:T111"/>
    <mergeCell ref="C108:E108"/>
    <mergeCell ref="F108:I108"/>
    <mergeCell ref="J108:L108"/>
    <mergeCell ref="M108:O108"/>
    <mergeCell ref="P108:R108"/>
    <mergeCell ref="S108:T108"/>
    <mergeCell ref="C109:E109"/>
    <mergeCell ref="S109:T109"/>
    <mergeCell ref="F109:I109"/>
    <mergeCell ref="J109:L109"/>
    <mergeCell ref="C110:E110"/>
    <mergeCell ref="F110:I110"/>
    <mergeCell ref="J110:L110"/>
    <mergeCell ref="F111:I111"/>
    <mergeCell ref="J111:L111"/>
    <mergeCell ref="C111:E111"/>
    <mergeCell ref="C112:E112"/>
    <mergeCell ref="F112:I112"/>
    <mergeCell ref="J112:L112"/>
    <mergeCell ref="M112:O112"/>
    <mergeCell ref="P112:R112"/>
    <mergeCell ref="S112:T11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30" max="30" width="3.88"/>
  </cols>
  <sheetData>
    <row r="1" ht="15.75" customHeight="1">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row>
    <row r="2" ht="15.75" customHeight="1">
      <c r="A2" s="242"/>
      <c r="B2" s="243"/>
      <c r="C2" s="243"/>
      <c r="D2" s="243"/>
      <c r="E2" s="243"/>
      <c r="F2" s="243"/>
      <c r="G2" s="243"/>
      <c r="H2" s="243"/>
      <c r="I2" s="243"/>
      <c r="J2" s="243"/>
      <c r="K2" s="243"/>
      <c r="L2" s="244"/>
      <c r="M2" s="31"/>
      <c r="N2" s="31"/>
      <c r="O2" s="31"/>
      <c r="P2" s="242"/>
      <c r="Q2" s="243"/>
      <c r="R2" s="243"/>
      <c r="S2" s="243"/>
      <c r="T2" s="243"/>
      <c r="U2" s="243"/>
      <c r="V2" s="243"/>
      <c r="W2" s="243"/>
      <c r="X2" s="243"/>
      <c r="Y2" s="243"/>
      <c r="Z2" s="243"/>
      <c r="AA2" s="243"/>
      <c r="AB2" s="243"/>
      <c r="AC2" s="243"/>
      <c r="AD2" s="244"/>
      <c r="AE2" s="31"/>
      <c r="AF2" s="31"/>
    </row>
    <row r="3" ht="15.75" customHeight="1">
      <c r="A3" s="245"/>
      <c r="B3" s="246"/>
      <c r="C3" s="246"/>
      <c r="D3" s="246"/>
      <c r="E3" s="246"/>
      <c r="F3" s="246"/>
      <c r="G3" s="246"/>
      <c r="H3" s="246"/>
      <c r="I3" s="246"/>
      <c r="J3" s="246"/>
      <c r="K3" s="246"/>
      <c r="L3" s="247"/>
      <c r="M3" s="246"/>
      <c r="N3" s="246"/>
      <c r="O3" s="246"/>
      <c r="P3" s="245"/>
      <c r="Q3" s="246"/>
      <c r="R3" s="246"/>
      <c r="S3" s="246"/>
      <c r="T3" s="31"/>
      <c r="U3" s="31"/>
      <c r="V3" s="31"/>
      <c r="W3" s="31"/>
      <c r="X3" s="31"/>
      <c r="Y3" s="31"/>
      <c r="Z3" s="31"/>
      <c r="AA3" s="31"/>
      <c r="AB3" s="31"/>
      <c r="AC3" s="31"/>
      <c r="AD3" s="248"/>
      <c r="AE3" s="31"/>
      <c r="AF3" s="31"/>
    </row>
    <row r="4" ht="15.75" customHeight="1">
      <c r="A4" s="249"/>
      <c r="B4" s="250" t="s">
        <v>76</v>
      </c>
      <c r="L4" s="251"/>
      <c r="M4" s="250"/>
      <c r="N4" s="250"/>
      <c r="O4" s="250"/>
      <c r="P4" s="249"/>
      <c r="Q4" s="252" t="s">
        <v>77</v>
      </c>
      <c r="R4" s="252" t="s">
        <v>78</v>
      </c>
      <c r="S4" s="252" t="s">
        <v>79</v>
      </c>
      <c r="T4" s="252" t="s">
        <v>80</v>
      </c>
      <c r="U4" s="252" t="s">
        <v>81</v>
      </c>
      <c r="V4" s="252" t="s">
        <v>82</v>
      </c>
      <c r="W4" s="252" t="s">
        <v>83</v>
      </c>
      <c r="X4" s="252" t="s">
        <v>84</v>
      </c>
      <c r="Y4" s="252" t="s">
        <v>85</v>
      </c>
      <c r="Z4" s="252" t="s">
        <v>86</v>
      </c>
      <c r="AA4" s="252" t="s">
        <v>87</v>
      </c>
      <c r="AB4" s="252" t="s">
        <v>88</v>
      </c>
      <c r="AC4" s="252" t="s">
        <v>89</v>
      </c>
      <c r="AD4" s="248"/>
      <c r="AE4" s="31"/>
      <c r="AF4" s="31"/>
    </row>
    <row r="5" ht="15.75" customHeight="1">
      <c r="A5" s="249"/>
      <c r="B5" s="250" t="s">
        <v>90</v>
      </c>
      <c r="L5" s="251"/>
      <c r="M5" s="250"/>
      <c r="N5" s="250"/>
      <c r="O5" s="31"/>
      <c r="P5" s="256"/>
      <c r="Q5" s="258" t="s">
        <v>91</v>
      </c>
      <c r="R5" s="261">
        <f>'ATTENDANCE RECORD SUMMARY'!F117</f>
        <v>16</v>
      </c>
      <c r="S5" s="261">
        <f>'ATTENDANCE RECORD SUMMARY'!G117</f>
        <v>23</v>
      </c>
      <c r="T5" s="261">
        <f>'ATTENDANCE RECORD SUMMARY'!H117</f>
        <v>19</v>
      </c>
      <c r="U5" s="261">
        <f>'ATTENDANCE RECORD SUMMARY'!I117</f>
        <v>22</v>
      </c>
      <c r="V5" s="261">
        <f>'ATTENDANCE RECORD SUMMARY'!J117</f>
        <v>22</v>
      </c>
      <c r="W5" s="261">
        <f>'ATTENDANCE RECORD SUMMARY'!K117</f>
        <v>19</v>
      </c>
      <c r="X5" s="261">
        <f>'ATTENDANCE RECORD SUMMARY'!L117</f>
        <v>13</v>
      </c>
      <c r="Y5" s="261">
        <f>'ATTENDANCE RECORD SUMMARY'!M117</f>
        <v>20</v>
      </c>
      <c r="Z5" s="261">
        <f>'ATTENDANCE RECORD SUMMARY'!N117</f>
        <v>20</v>
      </c>
      <c r="AA5" s="261">
        <f>'ATTENDANCE RECORD SUMMARY'!O117</f>
        <v>21</v>
      </c>
      <c r="AB5" s="261">
        <f>'ATTENDANCE RECORD SUMMARY'!P117</f>
        <v>6</v>
      </c>
      <c r="AC5" s="262">
        <f>SUM(R5:AB6)</f>
        <v>201</v>
      </c>
      <c r="AD5" s="248"/>
      <c r="AE5" s="31"/>
      <c r="AF5" s="31"/>
    </row>
    <row r="6" ht="15.75" customHeight="1">
      <c r="A6" s="256"/>
      <c r="B6" s="250" t="s">
        <v>92</v>
      </c>
      <c r="L6" s="248"/>
      <c r="M6" s="31"/>
      <c r="N6" s="31"/>
      <c r="O6" s="250"/>
      <c r="P6" s="249"/>
      <c r="Q6" s="263"/>
      <c r="R6" s="263"/>
      <c r="S6" s="263"/>
      <c r="T6" s="263"/>
      <c r="U6" s="263"/>
      <c r="V6" s="263"/>
      <c r="W6" s="263"/>
      <c r="X6" s="263"/>
      <c r="Y6" s="263"/>
      <c r="Z6" s="263"/>
      <c r="AA6" s="263"/>
      <c r="AB6" s="263"/>
      <c r="AC6" s="263"/>
      <c r="AD6" s="248"/>
      <c r="AE6" s="31"/>
      <c r="AF6" s="31"/>
    </row>
    <row r="7" ht="15.75" customHeight="1">
      <c r="A7" s="249"/>
      <c r="B7" s="250" t="s">
        <v>93</v>
      </c>
      <c r="L7" s="251"/>
      <c r="M7" s="250"/>
      <c r="N7" s="250"/>
      <c r="O7" s="250"/>
      <c r="P7" s="249"/>
      <c r="Q7" s="258" t="s">
        <v>94</v>
      </c>
      <c r="R7" s="261" t="str">
        <f>IF('ATTENDANCE RECORD SUMMARY'!F14="","",IFERROR(VLOOKUP(C17,'ATTENDANCE RECORD SUMMARY'!$C$14:$P$114,4,0),""))</f>
        <v/>
      </c>
      <c r="S7" s="261" t="str">
        <f>IF('ATTENDANCE RECORD SUMMARY'!F14="","",IFERROR(VLOOKUP(C17,'ATTENDANCE RECORD SUMMARY'!$C$14:$P$114,5,0),""))</f>
        <v/>
      </c>
      <c r="T7" s="261" t="str">
        <f>IF('ATTENDANCE RECORD SUMMARY'!F14="","",IFERROR(VLOOKUP(C17,'ATTENDANCE RECORD SUMMARY'!$C$14:$P$114,6,0),""))</f>
        <v/>
      </c>
      <c r="U7" s="261" t="str">
        <f>IF('ATTENDANCE RECORD SUMMARY'!F14="","",IFERROR(VLOOKUP(C17,'ATTENDANCE RECORD SUMMARY'!$C$14:$P$114,7,0),""))</f>
        <v/>
      </c>
      <c r="V7" s="261" t="str">
        <f>IF('ATTENDANCE RECORD SUMMARY'!F14="","",IFERROR(VLOOKUP(C17,'ATTENDANCE RECORD SUMMARY'!$C$14:$P$114,8,0),""))</f>
        <v/>
      </c>
      <c r="W7" s="261" t="str">
        <f>IF('ATTENDANCE RECORD SUMMARY'!F14="","",IFERROR(VLOOKUP(C17,'ATTENDANCE RECORD SUMMARY'!$C$14:$P$114,9,0),""))</f>
        <v/>
      </c>
      <c r="X7" s="261" t="str">
        <f>IF('ATTENDANCE RECORD SUMMARY'!F14="","",IFERROR(VLOOKUP(C17,'ATTENDANCE RECORD SUMMARY'!$C$14:$P$114,10,0),""))</f>
        <v/>
      </c>
      <c r="Y7" s="261" t="str">
        <f>IF('ATTENDANCE RECORD SUMMARY'!F14="","",IFERROR(VLOOKUP(C17,'ATTENDANCE RECORD SUMMARY'!$C$14:$P$114,11,0),""))</f>
        <v/>
      </c>
      <c r="Z7" s="261" t="str">
        <f>IF('ATTENDANCE RECORD SUMMARY'!F14="","",IFERROR(VLOOKUP(C17,'ATTENDANCE RECORD SUMMARY'!$C$14:$P$114,12,0),""))</f>
        <v/>
      </c>
      <c r="AA7" s="261" t="str">
        <f>IF('ATTENDANCE RECORD SUMMARY'!F14="","",IFERROR(VLOOKUP(C17,'ATTENDANCE RECORD SUMMARY'!$C$14:$P$114,13,0),""))</f>
        <v/>
      </c>
      <c r="AB7" s="261" t="str">
        <f>IF('ATTENDANCE RECORD SUMMARY'!F14="","",IFERROR(VLOOKUP(C17,'ATTENDANCE RECORD SUMMARY'!$C$14:$P$114,14,0),""))</f>
        <v/>
      </c>
      <c r="AC7" s="262">
        <f>SUM(R7:AB8)</f>
        <v>0</v>
      </c>
      <c r="AD7" s="248"/>
      <c r="AE7" s="31"/>
      <c r="AF7" s="31"/>
    </row>
    <row r="8" ht="15.75" customHeight="1">
      <c r="A8" s="264"/>
      <c r="B8" s="265" t="s">
        <v>23</v>
      </c>
      <c r="L8" s="251"/>
      <c r="M8" s="250"/>
      <c r="N8" s="250"/>
      <c r="O8" s="250"/>
      <c r="P8" s="249"/>
      <c r="Q8" s="263"/>
      <c r="R8" s="263"/>
      <c r="S8" s="263"/>
      <c r="T8" s="263"/>
      <c r="U8" s="263"/>
      <c r="V8" s="263"/>
      <c r="W8" s="263"/>
      <c r="X8" s="263"/>
      <c r="Y8" s="263"/>
      <c r="Z8" s="263"/>
      <c r="AA8" s="263"/>
      <c r="AB8" s="263"/>
      <c r="AC8" s="263"/>
      <c r="AD8" s="248"/>
      <c r="AE8" s="31"/>
      <c r="AF8" s="31"/>
    </row>
    <row r="9" ht="15.75" customHeight="1">
      <c r="A9" s="249"/>
      <c r="B9" s="250" t="s">
        <v>95</v>
      </c>
      <c r="L9" s="251"/>
      <c r="M9" s="250"/>
      <c r="N9" s="250"/>
      <c r="O9" s="250"/>
      <c r="P9" s="249"/>
      <c r="Q9" s="258" t="s">
        <v>96</v>
      </c>
      <c r="R9" s="261" t="str">
        <f t="shared" ref="R9:AB9" si="1">IF(R7="","",ABS(R5-R7))</f>
        <v/>
      </c>
      <c r="S9" s="261" t="str">
        <f t="shared" si="1"/>
        <v/>
      </c>
      <c r="T9" s="261" t="str">
        <f t="shared" si="1"/>
        <v/>
      </c>
      <c r="U9" s="261" t="str">
        <f t="shared" si="1"/>
        <v/>
      </c>
      <c r="V9" s="261" t="str">
        <f t="shared" si="1"/>
        <v/>
      </c>
      <c r="W9" s="261" t="str">
        <f t="shared" si="1"/>
        <v/>
      </c>
      <c r="X9" s="261" t="str">
        <f t="shared" si="1"/>
        <v/>
      </c>
      <c r="Y9" s="261" t="str">
        <f t="shared" si="1"/>
        <v/>
      </c>
      <c r="Z9" s="261" t="str">
        <f t="shared" si="1"/>
        <v/>
      </c>
      <c r="AA9" s="261" t="str">
        <f t="shared" si="1"/>
        <v/>
      </c>
      <c r="AB9" s="261" t="str">
        <f t="shared" si="1"/>
        <v/>
      </c>
      <c r="AC9" s="266">
        <f>ABS(AC5-AC7)</f>
        <v>201</v>
      </c>
      <c r="AD9" s="248"/>
      <c r="AE9" s="31"/>
      <c r="AF9" s="31"/>
    </row>
    <row r="10" ht="15.75" customHeight="1">
      <c r="A10" s="249"/>
      <c r="B10" s="267" t="s">
        <v>93</v>
      </c>
      <c r="L10" s="251"/>
      <c r="M10" s="250"/>
      <c r="N10" s="250"/>
      <c r="O10" s="250"/>
      <c r="P10" s="249"/>
      <c r="Q10" s="263"/>
      <c r="R10" s="263"/>
      <c r="S10" s="263"/>
      <c r="T10" s="263"/>
      <c r="U10" s="263"/>
      <c r="V10" s="263"/>
      <c r="W10" s="263"/>
      <c r="X10" s="263"/>
      <c r="Y10" s="263"/>
      <c r="Z10" s="263"/>
      <c r="AA10" s="263"/>
      <c r="AB10" s="263"/>
      <c r="AC10" s="263"/>
      <c r="AD10" s="248"/>
      <c r="AE10" s="31"/>
      <c r="AF10" s="31"/>
    </row>
    <row r="11" ht="3.75" customHeight="1">
      <c r="A11" s="249"/>
      <c r="B11" s="267"/>
      <c r="C11" s="267"/>
      <c r="D11" s="267"/>
      <c r="E11" s="267"/>
      <c r="F11" s="267"/>
      <c r="G11" s="267"/>
      <c r="H11" s="267"/>
      <c r="I11" s="267"/>
      <c r="J11" s="267"/>
      <c r="K11" s="267"/>
      <c r="L11" s="247"/>
      <c r="M11" s="246"/>
      <c r="N11" s="246"/>
      <c r="O11" s="246"/>
      <c r="P11" s="245"/>
      <c r="Q11" s="246"/>
      <c r="R11" s="246"/>
      <c r="S11" s="246"/>
      <c r="T11" s="31"/>
      <c r="U11" s="31"/>
      <c r="V11" s="31"/>
      <c r="W11" s="31"/>
      <c r="X11" s="31"/>
      <c r="Y11" s="31"/>
      <c r="Z11" s="31"/>
      <c r="AA11" s="31"/>
      <c r="AB11" s="31"/>
      <c r="AC11" s="31"/>
      <c r="AD11" s="248"/>
      <c r="AE11" s="31"/>
      <c r="AF11" s="31"/>
    </row>
    <row r="12" ht="15.75" customHeight="1">
      <c r="A12" s="256"/>
      <c r="B12" s="268" t="str">
        <f>'INPUT DATA'!F16</f>
        <v>LAS PINAS EAST NATIONAL HIGH SCHOOL</v>
      </c>
      <c r="L12" s="269"/>
      <c r="M12" s="270"/>
      <c r="N12" s="270"/>
      <c r="O12" s="270"/>
      <c r="P12" s="271"/>
      <c r="Q12" s="270"/>
      <c r="R12" s="250"/>
      <c r="S12" s="250"/>
      <c r="T12" s="31"/>
      <c r="U12" s="31"/>
      <c r="V12" s="31"/>
      <c r="W12" s="31"/>
      <c r="X12" s="31"/>
      <c r="Y12" s="31"/>
      <c r="Z12" s="31"/>
      <c r="AA12" s="31"/>
      <c r="AB12" s="31"/>
      <c r="AC12" s="31"/>
      <c r="AD12" s="248"/>
      <c r="AE12" s="31"/>
      <c r="AF12" s="31"/>
    </row>
    <row r="13" ht="3.75" customHeight="1">
      <c r="A13" s="245"/>
      <c r="B13" s="246"/>
      <c r="C13" s="246"/>
      <c r="D13" s="246"/>
      <c r="E13" s="246"/>
      <c r="F13" s="246"/>
      <c r="G13" s="246"/>
      <c r="H13" s="246"/>
      <c r="I13" s="246"/>
      <c r="J13" s="246"/>
      <c r="K13" s="246"/>
      <c r="L13" s="247"/>
      <c r="M13" s="246"/>
      <c r="N13" s="246"/>
      <c r="O13" s="246"/>
      <c r="P13" s="245"/>
      <c r="Q13" s="246"/>
      <c r="R13" s="246"/>
      <c r="S13" s="246"/>
      <c r="T13" s="31"/>
      <c r="U13" s="31"/>
      <c r="V13" s="31"/>
      <c r="W13" s="31"/>
      <c r="X13" s="31"/>
      <c r="Y13" s="31"/>
      <c r="Z13" s="31"/>
      <c r="AA13" s="31"/>
      <c r="AB13" s="31"/>
      <c r="AC13" s="31"/>
      <c r="AD13" s="248"/>
      <c r="AE13" s="31"/>
      <c r="AF13" s="31"/>
    </row>
    <row r="14" ht="15.75" customHeight="1">
      <c r="A14" s="264"/>
      <c r="B14" s="265" t="s">
        <v>97</v>
      </c>
      <c r="L14" s="272"/>
      <c r="M14" s="265"/>
      <c r="N14" s="265"/>
      <c r="O14" s="265"/>
      <c r="P14" s="264"/>
      <c r="Q14" s="265" t="s">
        <v>98</v>
      </c>
      <c r="AD14" s="248"/>
      <c r="AE14" s="31"/>
      <c r="AF14" s="31"/>
    </row>
    <row r="15" ht="15.75" customHeight="1">
      <c r="A15" s="249"/>
      <c r="B15" s="250" t="s">
        <v>99</v>
      </c>
      <c r="L15" s="269"/>
      <c r="M15" s="270"/>
      <c r="N15" s="270"/>
      <c r="O15" s="250"/>
      <c r="P15" s="249"/>
      <c r="Q15" s="273" t="s">
        <v>100</v>
      </c>
      <c r="R15" s="274"/>
      <c r="S15" s="274"/>
      <c r="T15" s="274"/>
      <c r="U15" s="274"/>
      <c r="V15" s="274"/>
      <c r="W15" s="274"/>
      <c r="X15" s="274"/>
      <c r="Y15" s="274"/>
      <c r="Z15" s="274"/>
      <c r="AA15" s="274"/>
      <c r="AB15" s="274"/>
      <c r="AC15" s="275"/>
      <c r="AD15" s="248"/>
      <c r="AE15" s="31"/>
      <c r="AF15" s="31"/>
    </row>
    <row r="16" ht="15.75" customHeight="1">
      <c r="A16" s="245"/>
      <c r="B16" s="246"/>
      <c r="C16" s="246"/>
      <c r="D16" s="246"/>
      <c r="E16" s="246"/>
      <c r="F16" s="246"/>
      <c r="G16" s="246"/>
      <c r="H16" s="246"/>
      <c r="I16" s="246"/>
      <c r="J16" s="246"/>
      <c r="K16" s="246"/>
      <c r="L16" s="247"/>
      <c r="M16" s="246"/>
      <c r="N16" s="246"/>
      <c r="O16" s="250"/>
      <c r="P16" s="249"/>
      <c r="Q16" s="276" t="s">
        <v>101</v>
      </c>
      <c r="AC16" s="277"/>
      <c r="AD16" s="248"/>
      <c r="AE16" s="31"/>
      <c r="AF16" s="31"/>
    </row>
    <row r="17" ht="15.75" customHeight="1">
      <c r="A17" s="271"/>
      <c r="B17" s="270" t="s">
        <v>102</v>
      </c>
      <c r="C17" s="278" t="s">
        <v>19</v>
      </c>
      <c r="D17" s="205"/>
      <c r="E17" s="205"/>
      <c r="F17" s="205"/>
      <c r="G17" s="205"/>
      <c r="H17" s="270" t="s">
        <v>103</v>
      </c>
      <c r="I17" s="279">
        <f>IF(C17="","",VLOOKUP(C17,'TERM 1 SUMMARY'!C15:T115,7,0))</f>
        <v>15</v>
      </c>
      <c r="J17" s="270" t="s">
        <v>104</v>
      </c>
      <c r="K17" s="279" t="str">
        <f>IF(C17="","",VLOOKUP(C17,'TERM 1 SUMMARY'!C15:T115,8,0))</f>
        <v/>
      </c>
      <c r="L17" s="280"/>
      <c r="M17" s="281"/>
      <c r="N17" s="281"/>
      <c r="O17" s="250"/>
      <c r="P17" s="249"/>
      <c r="Q17" s="282"/>
      <c r="AC17" s="277"/>
      <c r="AD17" s="248"/>
      <c r="AE17" s="31"/>
      <c r="AF17" s="31"/>
    </row>
    <row r="18" ht="15.75" customHeight="1">
      <c r="A18" s="271"/>
      <c r="B18" s="270" t="s">
        <v>105</v>
      </c>
      <c r="C18" s="283">
        <f>IF(C17="","",VLOOKUP(C17,'TERM 1 SUMMARY'!C15:T115,4,0))</f>
        <v>2</v>
      </c>
      <c r="D18" s="172"/>
      <c r="E18" s="172"/>
      <c r="F18" s="284"/>
      <c r="G18" s="285"/>
      <c r="H18" s="270" t="s">
        <v>106</v>
      </c>
      <c r="I18" s="279">
        <f>'TERM 1 SUMMARY'!G9</f>
        <v>10</v>
      </c>
      <c r="J18" s="270" t="s">
        <v>107</v>
      </c>
      <c r="K18" s="279" t="str">
        <f>'TERM 1 SUMMARY'!G10</f>
        <v>PAMAYPAY</v>
      </c>
      <c r="L18" s="248"/>
      <c r="M18" s="31"/>
      <c r="N18" s="31"/>
      <c r="O18" s="250"/>
      <c r="P18" s="249"/>
      <c r="Q18" s="66"/>
      <c r="R18" s="205"/>
      <c r="S18" s="205"/>
      <c r="T18" s="205"/>
      <c r="U18" s="205"/>
      <c r="V18" s="205"/>
      <c r="W18" s="205"/>
      <c r="X18" s="205"/>
      <c r="Y18" s="205"/>
      <c r="Z18" s="205"/>
      <c r="AA18" s="205"/>
      <c r="AB18" s="205"/>
      <c r="AC18" s="71"/>
      <c r="AD18" s="248"/>
      <c r="AE18" s="31"/>
      <c r="AF18" s="31"/>
    </row>
    <row r="19" ht="15.75" customHeight="1">
      <c r="A19" s="245"/>
      <c r="B19" s="286" t="s">
        <v>108</v>
      </c>
      <c r="C19" s="286"/>
      <c r="D19" s="286"/>
      <c r="E19" s="286"/>
      <c r="F19" s="286"/>
      <c r="G19" s="31"/>
      <c r="H19" s="31"/>
      <c r="I19" s="31"/>
      <c r="J19" s="31"/>
      <c r="K19" s="31"/>
      <c r="L19" s="248"/>
      <c r="M19" s="31"/>
      <c r="N19" s="31"/>
      <c r="O19" s="246"/>
      <c r="P19" s="245"/>
      <c r="Q19" s="273" t="s">
        <v>109</v>
      </c>
      <c r="R19" s="274"/>
      <c r="S19" s="274"/>
      <c r="T19" s="274"/>
      <c r="U19" s="274"/>
      <c r="V19" s="274"/>
      <c r="W19" s="274"/>
      <c r="X19" s="274"/>
      <c r="Y19" s="274"/>
      <c r="Z19" s="274"/>
      <c r="AA19" s="274"/>
      <c r="AB19" s="274"/>
      <c r="AC19" s="275"/>
      <c r="AD19" s="248"/>
      <c r="AE19" s="31"/>
      <c r="AF19" s="31"/>
    </row>
    <row r="20" ht="15.75" customHeight="1">
      <c r="A20" s="245"/>
      <c r="B20" s="246"/>
      <c r="C20" s="246"/>
      <c r="D20" s="246"/>
      <c r="E20" s="246"/>
      <c r="F20" s="246"/>
      <c r="G20" s="246"/>
      <c r="H20" s="246"/>
      <c r="I20" s="246"/>
      <c r="J20" s="246"/>
      <c r="K20" s="246"/>
      <c r="L20" s="247"/>
      <c r="M20" s="246"/>
      <c r="N20" s="246"/>
      <c r="O20" s="246"/>
      <c r="P20" s="245"/>
      <c r="Q20" s="287"/>
      <c r="AC20" s="277"/>
      <c r="AD20" s="248"/>
      <c r="AE20" s="31"/>
      <c r="AF20" s="31"/>
    </row>
    <row r="21" ht="15.75" customHeight="1">
      <c r="A21" s="288"/>
      <c r="B21" s="289" t="s">
        <v>110</v>
      </c>
      <c r="E21" s="289"/>
      <c r="F21" s="289"/>
      <c r="G21" s="289"/>
      <c r="H21" s="289"/>
      <c r="I21" s="289"/>
      <c r="J21" s="289"/>
      <c r="K21" s="289"/>
      <c r="L21" s="290"/>
      <c r="M21" s="289"/>
      <c r="N21" s="289"/>
      <c r="O21" s="289"/>
      <c r="P21" s="288"/>
      <c r="Q21" s="282"/>
      <c r="AC21" s="277"/>
      <c r="AD21" s="248"/>
      <c r="AE21" s="31"/>
      <c r="AF21" s="31"/>
    </row>
    <row r="22" ht="15.75" customHeight="1">
      <c r="A22" s="245"/>
      <c r="B22" s="246"/>
      <c r="C22" s="246" t="s">
        <v>111</v>
      </c>
      <c r="D22" s="246"/>
      <c r="E22" s="246"/>
      <c r="F22" s="246"/>
      <c r="G22" s="246"/>
      <c r="H22" s="246"/>
      <c r="I22" s="246"/>
      <c r="J22" s="246"/>
      <c r="K22" s="246"/>
      <c r="L22" s="247"/>
      <c r="M22" s="246"/>
      <c r="N22" s="246"/>
      <c r="O22" s="246"/>
      <c r="P22" s="245"/>
      <c r="Q22" s="66"/>
      <c r="R22" s="205"/>
      <c r="S22" s="205"/>
      <c r="T22" s="205"/>
      <c r="U22" s="205"/>
      <c r="V22" s="205"/>
      <c r="W22" s="205"/>
      <c r="X22" s="205"/>
      <c r="Y22" s="205"/>
      <c r="Z22" s="205"/>
      <c r="AA22" s="205"/>
      <c r="AB22" s="205"/>
      <c r="AC22" s="71"/>
      <c r="AD22" s="248"/>
      <c r="AE22" s="31"/>
      <c r="AF22" s="31"/>
    </row>
    <row r="23" ht="15.75" customHeight="1">
      <c r="A23" s="245"/>
      <c r="B23" s="246" t="s">
        <v>112</v>
      </c>
      <c r="F23" s="246"/>
      <c r="G23" s="246"/>
      <c r="H23" s="246"/>
      <c r="I23" s="246"/>
      <c r="J23" s="246"/>
      <c r="K23" s="246"/>
      <c r="L23" s="247"/>
      <c r="M23" s="246"/>
      <c r="N23" s="246"/>
      <c r="O23" s="246"/>
      <c r="P23" s="245"/>
      <c r="Q23" s="273" t="s">
        <v>113</v>
      </c>
      <c r="R23" s="274"/>
      <c r="S23" s="274"/>
      <c r="T23" s="274"/>
      <c r="U23" s="274"/>
      <c r="V23" s="274"/>
      <c r="W23" s="274"/>
      <c r="X23" s="274"/>
      <c r="Y23" s="274"/>
      <c r="Z23" s="274"/>
      <c r="AA23" s="274"/>
      <c r="AB23" s="274"/>
      <c r="AC23" s="275"/>
      <c r="AD23" s="248"/>
      <c r="AE23" s="31"/>
      <c r="AF23" s="31"/>
    </row>
    <row r="24" ht="15.75" customHeight="1">
      <c r="A24" s="245"/>
      <c r="B24" s="246"/>
      <c r="C24" s="246" t="s">
        <v>114</v>
      </c>
      <c r="D24" s="246"/>
      <c r="E24" s="246"/>
      <c r="F24" s="246"/>
      <c r="G24" s="246"/>
      <c r="H24" s="246"/>
      <c r="I24" s="246"/>
      <c r="J24" s="246"/>
      <c r="K24" s="246"/>
      <c r="L24" s="247"/>
      <c r="M24" s="246"/>
      <c r="N24" s="246"/>
      <c r="O24" s="246"/>
      <c r="P24" s="245"/>
      <c r="Q24" s="287"/>
      <c r="AC24" s="277"/>
      <c r="AD24" s="248"/>
      <c r="AE24" s="31"/>
      <c r="AF24" s="31"/>
    </row>
    <row r="25" ht="15.75" customHeight="1">
      <c r="A25" s="245"/>
      <c r="B25" s="246" t="s">
        <v>115</v>
      </c>
      <c r="C25" s="246"/>
      <c r="D25" s="246"/>
      <c r="E25" s="246"/>
      <c r="F25" s="246"/>
      <c r="G25" s="246"/>
      <c r="H25" s="246"/>
      <c r="I25" s="246"/>
      <c r="J25" s="246"/>
      <c r="K25" s="246"/>
      <c r="L25" s="247"/>
      <c r="M25" s="246"/>
      <c r="N25" s="246"/>
      <c r="O25" s="246"/>
      <c r="P25" s="245"/>
      <c r="Q25" s="282"/>
      <c r="AC25" s="277"/>
      <c r="AD25" s="248"/>
      <c r="AE25" s="31"/>
      <c r="AF25" s="31"/>
    </row>
    <row r="26" ht="15.75" customHeight="1">
      <c r="A26" s="256"/>
      <c r="B26" s="31"/>
      <c r="C26" s="31"/>
      <c r="D26" s="31"/>
      <c r="E26" s="31"/>
      <c r="F26" s="31"/>
      <c r="G26" s="31"/>
      <c r="H26" s="31"/>
      <c r="I26" s="31"/>
      <c r="J26" s="31"/>
      <c r="K26" s="31"/>
      <c r="L26" s="248"/>
      <c r="M26" s="31"/>
      <c r="N26" s="31"/>
      <c r="O26" s="31"/>
      <c r="P26" s="256"/>
      <c r="Q26" s="66"/>
      <c r="R26" s="205"/>
      <c r="S26" s="205"/>
      <c r="T26" s="205"/>
      <c r="U26" s="205"/>
      <c r="V26" s="205"/>
      <c r="W26" s="205"/>
      <c r="X26" s="205"/>
      <c r="Y26" s="205"/>
      <c r="Z26" s="205"/>
      <c r="AA26" s="205"/>
      <c r="AB26" s="205"/>
      <c r="AC26" s="71"/>
      <c r="AD26" s="248"/>
      <c r="AE26" s="31"/>
      <c r="AF26" s="31"/>
    </row>
    <row r="27" ht="15.75" customHeight="1">
      <c r="A27" s="264"/>
      <c r="B27" s="291" t="str">
        <f>'INPUT DATA'!F19</f>
        <v>NELSON A. IMACULATA JR.</v>
      </c>
      <c r="C27" s="205"/>
      <c r="D27" s="205"/>
      <c r="E27" s="205"/>
      <c r="F27" s="205"/>
      <c r="H27" s="292" t="str">
        <f>'INPUT DATA'!F26</f>
        <v>ROSALINDA S. VALE</v>
      </c>
      <c r="I27" s="205"/>
      <c r="J27" s="205"/>
      <c r="K27" s="205"/>
      <c r="L27" s="272"/>
      <c r="M27" s="265"/>
      <c r="N27" s="265"/>
      <c r="O27" s="265"/>
      <c r="P27" s="264"/>
      <c r="Q27" s="265"/>
      <c r="R27" s="265"/>
      <c r="S27" s="31"/>
      <c r="T27" s="31"/>
      <c r="U27" s="31"/>
      <c r="V27" s="31"/>
      <c r="W27" s="31"/>
      <c r="X27" s="31"/>
      <c r="Y27" s="31"/>
      <c r="Z27" s="31"/>
      <c r="AA27" s="31"/>
      <c r="AB27" s="31"/>
      <c r="AC27" s="31"/>
      <c r="AD27" s="248"/>
      <c r="AE27" s="31"/>
      <c r="AF27" s="31"/>
    </row>
    <row r="28" ht="15.75" customHeight="1">
      <c r="A28" s="256"/>
      <c r="B28" s="250" t="s">
        <v>116</v>
      </c>
      <c r="G28" s="246"/>
      <c r="H28" s="250" t="s">
        <v>117</v>
      </c>
      <c r="L28" s="248"/>
      <c r="M28" s="31"/>
      <c r="N28" s="31"/>
      <c r="O28" s="31"/>
      <c r="P28" s="256"/>
      <c r="Q28" s="293" t="s">
        <v>118</v>
      </c>
      <c r="AD28" s="248"/>
      <c r="AE28" s="31"/>
      <c r="AF28" s="31"/>
    </row>
    <row r="29" ht="25.5" customHeight="1">
      <c r="A29" s="294"/>
      <c r="B29" s="265" t="s">
        <v>119</v>
      </c>
      <c r="L29" s="295"/>
      <c r="M29" s="293"/>
      <c r="N29" s="293"/>
      <c r="O29" s="293"/>
      <c r="P29" s="294"/>
      <c r="Q29" s="246"/>
      <c r="R29" s="296" t="s">
        <v>100</v>
      </c>
      <c r="T29" s="297"/>
      <c r="U29" s="297"/>
      <c r="V29" s="297"/>
      <c r="W29" s="297"/>
      <c r="X29" s="297"/>
      <c r="Y29" s="297"/>
      <c r="Z29" s="297"/>
      <c r="AA29" s="297"/>
      <c r="AB29" s="297"/>
      <c r="AC29" s="31"/>
      <c r="AD29" s="248"/>
      <c r="AE29" s="31"/>
      <c r="AF29" s="31"/>
    </row>
    <row r="30" ht="25.5" customHeight="1">
      <c r="A30" s="294"/>
      <c r="B30" s="298" t="s">
        <v>38</v>
      </c>
      <c r="C30" s="299"/>
      <c r="D30" s="299"/>
      <c r="E30" s="64"/>
      <c r="F30" s="300" t="s">
        <v>120</v>
      </c>
      <c r="G30" s="172"/>
      <c r="H30" s="33"/>
      <c r="I30" s="258" t="s">
        <v>39</v>
      </c>
      <c r="J30" s="298" t="s">
        <v>121</v>
      </c>
      <c r="K30" s="64"/>
      <c r="L30" s="295"/>
      <c r="M30" s="293"/>
      <c r="N30" s="293"/>
      <c r="O30" s="293"/>
      <c r="P30" s="294"/>
      <c r="Q30" s="246"/>
      <c r="R30" s="296" t="s">
        <v>109</v>
      </c>
      <c r="T30" s="297"/>
      <c r="U30" s="297"/>
      <c r="V30" s="297"/>
      <c r="W30" s="297"/>
      <c r="X30" s="297"/>
      <c r="Y30" s="297"/>
      <c r="Z30" s="297"/>
      <c r="AA30" s="297"/>
      <c r="AB30" s="297"/>
      <c r="AC30" s="31"/>
      <c r="AD30" s="248"/>
      <c r="AE30" s="31"/>
      <c r="AF30" s="31"/>
    </row>
    <row r="31" ht="25.5" customHeight="1">
      <c r="A31" s="288"/>
      <c r="B31" s="66"/>
      <c r="C31" s="205"/>
      <c r="D31" s="205"/>
      <c r="E31" s="71"/>
      <c r="F31" s="252" t="s">
        <v>122</v>
      </c>
      <c r="G31" s="252" t="s">
        <v>123</v>
      </c>
      <c r="H31" s="252" t="s">
        <v>124</v>
      </c>
      <c r="I31" s="263"/>
      <c r="J31" s="66"/>
      <c r="K31" s="71"/>
      <c r="L31" s="247"/>
      <c r="M31" s="246"/>
      <c r="N31" s="246"/>
      <c r="O31" s="246"/>
      <c r="P31" s="245"/>
      <c r="Q31" s="246"/>
      <c r="R31" s="296" t="s">
        <v>113</v>
      </c>
      <c r="T31" s="297"/>
      <c r="U31" s="297"/>
      <c r="V31" s="297"/>
      <c r="W31" s="297"/>
      <c r="X31" s="297"/>
      <c r="Y31" s="297"/>
      <c r="Z31" s="297"/>
      <c r="AA31" s="297"/>
      <c r="AB31" s="297"/>
      <c r="AC31" s="31"/>
      <c r="AD31" s="248"/>
      <c r="AE31" s="31"/>
      <c r="AF31" s="31"/>
    </row>
    <row r="32" ht="25.5" customHeight="1">
      <c r="A32" s="301"/>
      <c r="B32" s="302" t="s">
        <v>42</v>
      </c>
      <c r="C32" s="172"/>
      <c r="D32" s="172"/>
      <c r="E32" s="33"/>
      <c r="F32" s="303" t="str">
        <f>IF('TERM 1 SUMMARY'!T15="","",IFERROR(VLOOKUP(C17,'TERM 1 SUMMARY'!$C$15:$T$115,9,0),""))</f>
        <v/>
      </c>
      <c r="G32" s="303" t="str">
        <f>IF('TERM 2 SUMMARY A'!T15="","",IFERROR(VLOOKUP(C17,'TERM 2 SUMMARY A'!$C$15:$T$115,9,0),""))</f>
        <v/>
      </c>
      <c r="H32" s="303" t="str">
        <f>IF('TERM 3 SUMMARY B'!T15="","",IFERROR(VLOOKUP(C17,'TERM 3 SUMMARY B'!$C$15:$T$115,9,0),""))</f>
        <v/>
      </c>
      <c r="I32" s="306" t="str">
        <f t="shared" ref="I32:I42" si="2">IF(COUNT(F32:H32)=0,"",AVERAGE((F32:H32)))</f>
        <v/>
      </c>
      <c r="J32" s="309" t="str">
        <f>IFERROR(VLOOKUP(I32,Sheet4!$B$2:$C$6,2,FALSE),"")</f>
        <v/>
      </c>
      <c r="K32" s="33"/>
      <c r="L32" s="247"/>
      <c r="M32" s="246"/>
      <c r="N32" s="246"/>
      <c r="O32" s="246"/>
      <c r="P32" s="245"/>
      <c r="Q32" s="246"/>
      <c r="AC32" s="31"/>
      <c r="AD32" s="248"/>
      <c r="AE32" s="31"/>
      <c r="AF32" s="31"/>
    </row>
    <row r="33" ht="25.5" customHeight="1">
      <c r="A33" s="301"/>
      <c r="B33" s="310" t="s">
        <v>43</v>
      </c>
      <c r="C33" s="172"/>
      <c r="D33" s="172"/>
      <c r="E33" s="33"/>
      <c r="F33" s="303" t="str">
        <f>IF('TERM 1 SUMMARY'!T15="","",IFERROR(VLOOKUP(C17,'TERM 1 SUMMARY'!$C$15:$T$115,10,0),""))</f>
        <v/>
      </c>
      <c r="G33" s="303" t="str">
        <f>IF('TERM 2 SUMMARY A'!T15="","",IFERROR(VLOOKUP(C17,'TERM 2 SUMMARY A'!$C$15:$T$115,10,0),""))</f>
        <v/>
      </c>
      <c r="H33" s="303" t="str">
        <f>IF('TERM 3 SUMMARY B'!T15="","",IFERROR(VLOOKUP(C17,'TERM 3 SUMMARY B'!$C$15:$T$115,10,0),""))</f>
        <v/>
      </c>
      <c r="I33" s="306" t="str">
        <f t="shared" si="2"/>
        <v/>
      </c>
      <c r="J33" s="309" t="str">
        <f>IFERROR(VLOOKUP(I33,Sheet4!$B$2:$C$6,2,FALSE),"")</f>
        <v/>
      </c>
      <c r="K33" s="33"/>
      <c r="L33" s="247"/>
      <c r="M33" s="246"/>
      <c r="N33" s="246"/>
      <c r="O33" s="246"/>
      <c r="P33" s="245"/>
      <c r="Q33" s="293" t="s">
        <v>128</v>
      </c>
      <c r="AD33" s="248"/>
      <c r="AE33" s="31"/>
      <c r="AF33" s="31"/>
    </row>
    <row r="34" ht="25.5" customHeight="1">
      <c r="A34" s="301"/>
      <c r="B34" s="310" t="s">
        <v>45</v>
      </c>
      <c r="C34" s="172"/>
      <c r="D34" s="172"/>
      <c r="E34" s="33"/>
      <c r="F34" s="303" t="str">
        <f>IF('TERM 1 SUMMARY'!T15="","",IFERROR(VLOOKUP(C17,'TERM 1 SUMMARY'!$C$15:$T$115,11,0),""))</f>
        <v/>
      </c>
      <c r="G34" s="303" t="str">
        <f>IF('TERM 2 SUMMARY A'!T15="","",IFERROR(VLOOKUP(C17,'TERM 2 SUMMARY A'!$C$15:$T$115,11,0),""))</f>
        <v/>
      </c>
      <c r="H34" s="303" t="str">
        <f>IF('TERM 3 SUMMARY B'!T15="","",IFERROR(VLOOKUP(C17,'TERM 3 SUMMARY B'!$C$15:$T$115,11,0),""))</f>
        <v/>
      </c>
      <c r="I34" s="306" t="str">
        <f t="shared" si="2"/>
        <v/>
      </c>
      <c r="J34" s="309" t="str">
        <f>IFERROR(VLOOKUP(I34,Sheet4!$B$2:$C$6,2,FALSE),"")</f>
        <v/>
      </c>
      <c r="K34" s="33"/>
      <c r="L34" s="247"/>
      <c r="M34" s="246"/>
      <c r="N34" s="246"/>
      <c r="O34" s="246"/>
      <c r="P34" s="245"/>
      <c r="Q34" s="246" t="s">
        <v>129</v>
      </c>
      <c r="R34" s="246"/>
      <c r="S34" s="246"/>
      <c r="T34" s="246"/>
      <c r="U34" s="246"/>
      <c r="V34" s="246"/>
      <c r="W34" s="246"/>
      <c r="X34" s="246"/>
      <c r="Y34" s="246"/>
      <c r="Z34" s="246"/>
      <c r="AA34" s="246"/>
      <c r="AB34" s="246"/>
      <c r="AC34" s="246"/>
      <c r="AD34" s="248"/>
      <c r="AE34" s="31"/>
      <c r="AF34" s="31"/>
    </row>
    <row r="35" ht="25.5" customHeight="1">
      <c r="A35" s="301"/>
      <c r="B35" s="310" t="s">
        <v>46</v>
      </c>
      <c r="C35" s="172"/>
      <c r="D35" s="172"/>
      <c r="E35" s="33"/>
      <c r="F35" s="303" t="str">
        <f>IF('TERM 1 SUMMARY'!T15="","",IFERROR(VLOOKUP(C17,'TERM 1 SUMMARY'!$C$15:$T$115,12,0),""))</f>
        <v/>
      </c>
      <c r="G35" s="303" t="str">
        <f>IF('TERM 2 SUMMARY A'!T15="","",IFERROR(VLOOKUP(C17,'TERM 2 SUMMARY A'!$C$15:$T$115,12,0),""))</f>
        <v/>
      </c>
      <c r="H35" s="303" t="str">
        <f>IF('TERM 3 SUMMARY B'!T15="","",IFERROR(VLOOKUP(C17,'TERM 3 SUMMARY B'!$C$15:$T$115,12,0),""))</f>
        <v/>
      </c>
      <c r="I35" s="306" t="str">
        <f t="shared" si="2"/>
        <v/>
      </c>
      <c r="J35" s="309" t="str">
        <f>IFERROR(VLOOKUP(I35,Sheet4!$B$2:$C$6,2,FALSE),"")</f>
        <v/>
      </c>
      <c r="K35" s="33"/>
      <c r="L35" s="247"/>
      <c r="M35" s="246"/>
      <c r="N35" s="246"/>
      <c r="O35" s="246"/>
      <c r="P35" s="245"/>
      <c r="Q35" s="246" t="s">
        <v>130</v>
      </c>
      <c r="R35" s="246"/>
      <c r="S35" s="246"/>
      <c r="T35" s="246"/>
      <c r="U35" s="246"/>
      <c r="V35" s="246"/>
      <c r="W35" s="246"/>
      <c r="X35" s="246"/>
      <c r="Y35" s="246"/>
      <c r="Z35" s="246"/>
      <c r="AA35" s="246"/>
      <c r="AB35" s="246"/>
      <c r="AC35" s="246"/>
      <c r="AD35" s="248"/>
      <c r="AE35" s="31" t="str">
        <f>IF(COUNT(F31:H31)=0,"",ROUND((F31+G31+H31)/3,0))</f>
        <v/>
      </c>
      <c r="AF35" s="31"/>
    </row>
    <row r="36" ht="25.5" customHeight="1">
      <c r="A36" s="301"/>
      <c r="B36" s="310" t="s">
        <v>131</v>
      </c>
      <c r="C36" s="172"/>
      <c r="D36" s="172"/>
      <c r="E36" s="33"/>
      <c r="F36" s="303" t="str">
        <f>IF('TERM 1 SUMMARY'!T15="","",IFERROR(VLOOKUP(C17,'TERM 1 SUMMARY'!$C$15:$T$115,13,0),""))</f>
        <v/>
      </c>
      <c r="G36" s="303" t="str">
        <f>IF('TERM 2 SUMMARY A'!T15="","",IFERROR(VLOOKUP(C17,'TERM 2 SUMMARY A'!$C$15:$T$115,13,0),""))</f>
        <v/>
      </c>
      <c r="H36" s="303" t="str">
        <f>IF('TERM 3 SUMMARY B'!T15="","",IFERROR(VLOOKUP(C17,'TERM 3 SUMMARY B'!$C$15:$T$115,13,0),""))</f>
        <v/>
      </c>
      <c r="I36" s="306" t="str">
        <f t="shared" si="2"/>
        <v/>
      </c>
      <c r="J36" s="309" t="str">
        <f>IFERROR(VLOOKUP(I36,Sheet4!$B$2:$C$6,2,FALSE),"")</f>
        <v/>
      </c>
      <c r="K36" s="33"/>
      <c r="L36" s="247"/>
      <c r="M36" s="246"/>
      <c r="N36" s="246"/>
      <c r="O36" s="246"/>
      <c r="P36" s="245"/>
      <c r="Q36" s="246"/>
      <c r="R36" s="246"/>
      <c r="S36" s="246"/>
      <c r="T36" s="246"/>
      <c r="U36" s="246"/>
      <c r="V36" s="246"/>
      <c r="W36" s="246"/>
      <c r="X36" s="246"/>
      <c r="Y36" s="246"/>
      <c r="Z36" s="246"/>
      <c r="AA36" s="246"/>
      <c r="AB36" s="246"/>
      <c r="AC36" s="246"/>
      <c r="AD36" s="248"/>
      <c r="AE36" s="31"/>
      <c r="AF36" s="31"/>
    </row>
    <row r="37" ht="25.5" customHeight="1">
      <c r="A37" s="301"/>
      <c r="B37" s="310" t="s">
        <v>132</v>
      </c>
      <c r="C37" s="172"/>
      <c r="D37" s="172"/>
      <c r="E37" s="33"/>
      <c r="F37" s="303" t="str">
        <f>IF('TERM 1 SUMMARY'!T15="","",IFERROR(VLOOKUP(C17,'TERM 1 SUMMARY'!$C$15:$T$115,14,0),""))</f>
        <v/>
      </c>
      <c r="G37" s="303" t="str">
        <f>IF('TERM 2 SUMMARY A'!T15="","",IFERROR(VLOOKUP(C17,'TERM 2 SUMMARY A'!$C$15:$T$115,14,0),""))</f>
        <v/>
      </c>
      <c r="H37" s="303" t="str">
        <f>IF('TERM 3 SUMMARY B'!T15="","",IFERROR(VLOOKUP(C17,'TERM 3 SUMMARY B'!$C$15:$T$115,14,0),""))</f>
        <v/>
      </c>
      <c r="I37" s="306" t="str">
        <f t="shared" si="2"/>
        <v/>
      </c>
      <c r="J37" s="309" t="str">
        <f>IFERROR(VLOOKUP(I37,Sheet4!$B$2:$C$6,2,FALSE),"")</f>
        <v/>
      </c>
      <c r="K37" s="33"/>
      <c r="L37" s="247"/>
      <c r="M37" s="246"/>
      <c r="N37" s="246"/>
      <c r="O37" s="246"/>
      <c r="P37" s="245"/>
      <c r="Q37" s="246" t="s">
        <v>133</v>
      </c>
      <c r="R37" s="246"/>
      <c r="S37" s="314"/>
      <c r="T37" s="314"/>
      <c r="U37" s="246"/>
      <c r="V37" s="246"/>
      <c r="W37" s="246"/>
      <c r="X37" s="246"/>
      <c r="Y37" s="246"/>
      <c r="Z37" s="246"/>
      <c r="AA37" s="246"/>
      <c r="AB37" s="246"/>
      <c r="AC37" s="246"/>
      <c r="AD37" s="248"/>
      <c r="AE37" s="31"/>
      <c r="AF37" s="31"/>
    </row>
    <row r="38" ht="25.5" customHeight="1">
      <c r="A38" s="301"/>
      <c r="B38" s="310" t="s">
        <v>49</v>
      </c>
      <c r="C38" s="172"/>
      <c r="D38" s="172"/>
      <c r="E38" s="33"/>
      <c r="F38" s="315" t="str">
        <f>IF('TERM 1 SUMMARY'!T15="","",IFERROR(VLOOKUP(C17,'TERM 1 SUMMARY'!$C$15:$T$115,15,0),""))</f>
        <v/>
      </c>
      <c r="G38" s="303" t="str">
        <f>IF('TERM 2 SUMMARY A'!T15="","",IFERROR(VLOOKUP(C17,'TERM 2 SUMMARY A'!$C$15:$T$115,15,0),""))</f>
        <v/>
      </c>
      <c r="H38" s="303" t="str">
        <f>IF('TERM 3 SUMMARY B'!T15="","",IFERROR(VLOOKUP(C17,'TERM 3 SUMMARY B'!$C$15:$T$115,15,0),""))</f>
        <v/>
      </c>
      <c r="I38" s="306" t="str">
        <f t="shared" si="2"/>
        <v/>
      </c>
      <c r="J38" s="309" t="str">
        <f>IFERROR(VLOOKUP(I38,Sheet4!$B$2:$C$6,2,FALSE),"")</f>
        <v/>
      </c>
      <c r="K38" s="33"/>
      <c r="L38" s="247"/>
      <c r="M38" s="246"/>
      <c r="N38" s="246"/>
      <c r="O38" s="246"/>
      <c r="P38" s="245"/>
      <c r="Q38" s="246" t="s">
        <v>134</v>
      </c>
      <c r="R38" s="246"/>
      <c r="S38" s="246"/>
      <c r="T38" s="246"/>
      <c r="U38" s="314"/>
      <c r="V38" s="314"/>
      <c r="W38" s="314"/>
      <c r="X38" s="314"/>
      <c r="Y38" s="246"/>
      <c r="Z38" s="246"/>
      <c r="AA38" s="246"/>
      <c r="AB38" s="246"/>
      <c r="AC38" s="246"/>
      <c r="AD38" s="248"/>
      <c r="AE38" s="31"/>
      <c r="AF38" s="31"/>
    </row>
    <row r="39" ht="25.5" customHeight="1">
      <c r="A39" s="316"/>
      <c r="B39" s="310" t="s">
        <v>50</v>
      </c>
      <c r="C39" s="172"/>
      <c r="D39" s="172"/>
      <c r="E39" s="33"/>
      <c r="F39" s="303" t="str">
        <f t="shared" ref="F39:H39" si="3">IF(COUNT(F40:F41)=0,"",AVERAGE((F40:F41)))</f>
        <v/>
      </c>
      <c r="G39" s="303" t="str">
        <f t="shared" si="3"/>
        <v/>
      </c>
      <c r="H39" s="303" t="str">
        <f t="shared" si="3"/>
        <v/>
      </c>
      <c r="I39" s="306" t="str">
        <f t="shared" si="2"/>
        <v/>
      </c>
      <c r="J39" s="309" t="str">
        <f>IFERROR(VLOOKUP(I39,Sheet4!$B$2:$C$6,2,FALSE),"")</f>
        <v/>
      </c>
      <c r="K39" s="33"/>
      <c r="L39" s="248"/>
      <c r="M39" s="31"/>
      <c r="N39" s="31"/>
      <c r="O39" s="31"/>
      <c r="P39" s="256"/>
      <c r="Q39" s="246"/>
      <c r="R39" s="246"/>
      <c r="S39" s="246"/>
      <c r="T39" s="246"/>
      <c r="U39" s="246"/>
      <c r="V39" s="246"/>
      <c r="W39" s="246"/>
      <c r="X39" s="293"/>
      <c r="AC39" s="246"/>
      <c r="AD39" s="248"/>
      <c r="AE39" s="31"/>
      <c r="AF39" s="31"/>
    </row>
    <row r="40" ht="25.5" customHeight="1">
      <c r="A40" s="316"/>
      <c r="B40" s="317" t="s">
        <v>135</v>
      </c>
      <c r="C40" s="172"/>
      <c r="D40" s="172"/>
      <c r="E40" s="33"/>
      <c r="F40" s="303" t="str">
        <f>IF('TERM 1 SUMMARY'!T15="","",IFERROR(VLOOKUP(C17,'TERM 1 SUMMARY'!$C$15:$T$115,16,0),""))</f>
        <v/>
      </c>
      <c r="G40" s="303" t="str">
        <f>IF('TERM 2 SUMMARY A'!T15="","",IFERROR(VLOOKUP(C17,'TERM 2 SUMMARY A'!$C$15:$T$115,16,0),""))</f>
        <v/>
      </c>
      <c r="H40" s="303" t="str">
        <f>IF('TERM 3 SUMMARY B'!T15="","",IFERROR(VLOOKUP(C17,'TERM 3 SUMMARY B'!$C$15:$T$115,16,0),""))</f>
        <v/>
      </c>
      <c r="I40" s="306" t="str">
        <f t="shared" si="2"/>
        <v/>
      </c>
      <c r="J40" s="309"/>
      <c r="K40" s="33"/>
      <c r="L40" s="248"/>
      <c r="M40" s="31"/>
      <c r="N40" s="31"/>
      <c r="O40" s="31"/>
      <c r="P40" s="256"/>
      <c r="Q40" s="246" t="s">
        <v>136</v>
      </c>
      <c r="R40" s="293"/>
      <c r="V40" s="246"/>
      <c r="W40" s="246"/>
      <c r="X40" s="291" t="str">
        <f>'INPUT DATA'!F26</f>
        <v>ROSALINDA S. VALE</v>
      </c>
      <c r="Y40" s="205"/>
      <c r="Z40" s="205"/>
      <c r="AA40" s="205"/>
      <c r="AB40" s="205"/>
      <c r="AC40" s="205"/>
      <c r="AD40" s="248"/>
      <c r="AE40" s="31"/>
      <c r="AF40" s="31"/>
    </row>
    <row r="41" ht="25.5" customHeight="1">
      <c r="A41" s="318"/>
      <c r="B41" s="317" t="s">
        <v>137</v>
      </c>
      <c r="C41" s="172"/>
      <c r="D41" s="172"/>
      <c r="E41" s="33"/>
      <c r="F41" s="315" t="str">
        <f>IF('TERM 1 SUMMARY'!T15="","",IFERROR(VLOOKUP(C17,'TERM 1 SUMMARY'!$C$15:$T$115,17,0),""))</f>
        <v/>
      </c>
      <c r="G41" s="303" t="str">
        <f>IF('TERM 2 SUMMARY A'!T15="","",IFERROR(VLOOKUP(C17,'TERM 2 SUMMARY A'!$C$15:$T$115,17,0),""))</f>
        <v/>
      </c>
      <c r="H41" s="303" t="str">
        <f>IF('TERM 3 SUMMARY B'!T15="","",IFERROR(VLOOKUP(C17,'TERM 3 SUMMARY B'!$C$15:$T$115,17,0),""))</f>
        <v/>
      </c>
      <c r="I41" s="306" t="str">
        <f t="shared" si="2"/>
        <v/>
      </c>
      <c r="J41" s="309"/>
      <c r="K41" s="33"/>
      <c r="L41" s="248"/>
      <c r="M41" s="31"/>
      <c r="N41" s="31"/>
      <c r="O41" s="31"/>
      <c r="P41" s="256"/>
      <c r="Q41" s="319" t="str">
        <f>'INPUT DATA'!F19</f>
        <v>NELSON A. IMACULATA JR.</v>
      </c>
      <c r="W41" s="246"/>
      <c r="X41" s="320" t="s">
        <v>117</v>
      </c>
      <c r="Y41" s="299"/>
      <c r="Z41" s="299"/>
      <c r="AA41" s="299"/>
      <c r="AB41" s="299"/>
      <c r="AC41" s="299"/>
      <c r="AD41" s="248"/>
      <c r="AE41" s="31"/>
      <c r="AF41" s="31"/>
    </row>
    <row r="42" ht="25.5" customHeight="1">
      <c r="A42" s="318"/>
      <c r="B42" s="321" t="s">
        <v>138</v>
      </c>
      <c r="C42" s="172"/>
      <c r="D42" s="172"/>
      <c r="E42" s="33"/>
      <c r="F42" s="315"/>
      <c r="G42" s="303"/>
      <c r="H42" s="303"/>
      <c r="I42" s="306" t="str">
        <f t="shared" si="2"/>
        <v/>
      </c>
      <c r="J42" s="309" t="str">
        <f>IFERROR(VLOOKUP(I42,Sheet4!$B$2:$C$6,2,FALSE),"")</f>
        <v/>
      </c>
      <c r="K42" s="33"/>
      <c r="L42" s="248"/>
      <c r="M42" s="31"/>
      <c r="N42" s="31"/>
      <c r="O42" s="31"/>
      <c r="P42" s="256"/>
      <c r="W42" s="246"/>
      <c r="X42" s="322"/>
      <c r="Y42" s="322"/>
      <c r="Z42" s="322"/>
      <c r="AA42" s="322"/>
      <c r="AB42" s="322"/>
      <c r="AC42" s="322"/>
      <c r="AD42" s="248"/>
      <c r="AE42" s="31"/>
      <c r="AF42" s="31"/>
    </row>
    <row r="43" ht="15.0" customHeight="1">
      <c r="A43" s="301"/>
      <c r="B43" s="323" t="s">
        <v>139</v>
      </c>
      <c r="C43" s="299"/>
      <c r="D43" s="299"/>
      <c r="E43" s="299"/>
      <c r="F43" s="299"/>
      <c r="G43" s="299"/>
      <c r="H43" s="64"/>
      <c r="I43" s="324" t="str">
        <f>IF(COUNT(I32:I39)=0,"",AVERAGE((I32:I39)))</f>
        <v/>
      </c>
      <c r="J43" s="325" t="str">
        <f>IFERROR(VLOOKUP(M43,Sheet4!$E$2:$F$4,2,FALSE),"")</f>
        <v>RETAINED</v>
      </c>
      <c r="K43" s="64"/>
      <c r="L43" s="248"/>
      <c r="M43" s="326">
        <f>COUNTIF(J32:K42,"Passed")</f>
        <v>0</v>
      </c>
      <c r="O43" s="68"/>
      <c r="P43" s="256"/>
      <c r="Q43" s="205"/>
      <c r="R43" s="205"/>
      <c r="S43" s="205"/>
      <c r="T43" s="205"/>
      <c r="U43" s="205"/>
      <c r="V43" s="205"/>
      <c r="X43" s="250"/>
      <c r="AD43" s="248"/>
      <c r="AE43" s="31"/>
      <c r="AF43" s="31"/>
    </row>
    <row r="44" ht="15.75" customHeight="1">
      <c r="A44" s="327"/>
      <c r="B44" s="66"/>
      <c r="C44" s="205"/>
      <c r="D44" s="205"/>
      <c r="E44" s="205"/>
      <c r="F44" s="205"/>
      <c r="G44" s="205"/>
      <c r="H44" s="71"/>
      <c r="I44" s="263"/>
      <c r="J44" s="66"/>
      <c r="K44" s="71"/>
      <c r="L44" s="248"/>
      <c r="M44" s="31"/>
      <c r="N44" s="31"/>
      <c r="O44" s="31"/>
      <c r="P44" s="256"/>
      <c r="Q44" s="250" t="s">
        <v>140</v>
      </c>
      <c r="W44" s="246"/>
      <c r="X44" s="250"/>
      <c r="AD44" s="248"/>
      <c r="AE44" s="31"/>
      <c r="AF44" s="31"/>
    </row>
    <row r="45" ht="15.75" customHeight="1">
      <c r="A45" s="245"/>
      <c r="B45" s="246"/>
      <c r="C45" s="246"/>
      <c r="D45" s="246"/>
      <c r="E45" s="246"/>
      <c r="F45" s="31"/>
      <c r="G45" s="31"/>
      <c r="H45" s="31"/>
      <c r="I45" s="31"/>
      <c r="J45" s="31"/>
      <c r="K45" s="31"/>
      <c r="L45" s="248"/>
      <c r="M45" s="31"/>
      <c r="N45" s="31"/>
      <c r="O45" s="31"/>
      <c r="P45" s="256"/>
      <c r="Q45" s="293"/>
      <c r="AD45" s="248"/>
      <c r="AE45" s="31"/>
      <c r="AF45" s="31"/>
    </row>
    <row r="46" ht="15.75" customHeight="1">
      <c r="A46" s="245"/>
      <c r="B46" s="328" t="s">
        <v>141</v>
      </c>
      <c r="F46" s="265"/>
      <c r="H46" s="265"/>
      <c r="I46" s="265"/>
      <c r="L46" s="329"/>
      <c r="M46" s="82"/>
      <c r="N46" s="82"/>
      <c r="O46" s="31"/>
      <c r="P46" s="256"/>
      <c r="Q46" s="293" t="s">
        <v>142</v>
      </c>
      <c r="AD46" s="248"/>
      <c r="AE46" s="31"/>
      <c r="AF46" s="31"/>
    </row>
    <row r="47" ht="15.75" customHeight="1">
      <c r="A47" s="245"/>
      <c r="B47" s="246"/>
      <c r="C47" s="265" t="s">
        <v>143</v>
      </c>
      <c r="F47" s="265" t="s">
        <v>144</v>
      </c>
      <c r="H47" s="250"/>
      <c r="I47" s="265" t="s">
        <v>121</v>
      </c>
      <c r="L47" s="329"/>
      <c r="M47" s="82"/>
      <c r="N47" s="82"/>
      <c r="O47" s="31"/>
      <c r="P47" s="256"/>
      <c r="Q47" s="246" t="s">
        <v>145</v>
      </c>
      <c r="R47" s="314"/>
      <c r="S47" s="314"/>
      <c r="T47" s="314"/>
      <c r="U47" s="314"/>
      <c r="V47" s="314"/>
      <c r="W47" s="314"/>
      <c r="X47" s="246" t="s">
        <v>146</v>
      </c>
      <c r="Y47" s="314"/>
      <c r="Z47" s="314"/>
      <c r="AA47" s="314"/>
      <c r="AB47" s="314"/>
      <c r="AD47" s="248"/>
      <c r="AE47" s="31"/>
      <c r="AF47" s="31"/>
    </row>
    <row r="48" ht="15.75" customHeight="1">
      <c r="A48" s="245"/>
      <c r="B48" s="246"/>
      <c r="C48" s="250" t="s">
        <v>147</v>
      </c>
      <c r="F48" s="250" t="s">
        <v>148</v>
      </c>
      <c r="H48" s="250"/>
      <c r="I48" s="250" t="s">
        <v>149</v>
      </c>
      <c r="L48" s="329"/>
      <c r="M48" s="82"/>
      <c r="N48" s="82"/>
      <c r="O48" s="31"/>
      <c r="P48" s="256"/>
      <c r="AC48" s="246"/>
      <c r="AD48" s="248"/>
      <c r="AE48" s="31"/>
      <c r="AF48" s="31"/>
    </row>
    <row r="49" ht="15.75" customHeight="1">
      <c r="A49" s="245"/>
      <c r="B49" s="246"/>
      <c r="C49" s="250" t="s">
        <v>150</v>
      </c>
      <c r="F49" s="250" t="s">
        <v>151</v>
      </c>
      <c r="H49" s="250"/>
      <c r="I49" s="250" t="s">
        <v>149</v>
      </c>
      <c r="L49" s="329"/>
      <c r="M49" s="82"/>
      <c r="N49" s="82"/>
      <c r="O49" s="31"/>
      <c r="P49" s="256"/>
      <c r="Q49" s="246"/>
      <c r="R49" s="246"/>
      <c r="S49" s="246"/>
      <c r="T49" s="246"/>
      <c r="U49" s="246"/>
      <c r="V49" s="246"/>
      <c r="W49" s="246"/>
      <c r="X49" s="246"/>
      <c r="Y49" s="246"/>
      <c r="Z49" s="246"/>
      <c r="AA49" s="246"/>
      <c r="AB49" s="246"/>
      <c r="AC49" s="246"/>
      <c r="AD49" s="248"/>
      <c r="AE49" s="31"/>
      <c r="AF49" s="31"/>
    </row>
    <row r="50" ht="15.75" customHeight="1">
      <c r="A50" s="245"/>
      <c r="B50" s="246"/>
      <c r="C50" s="250" t="s">
        <v>152</v>
      </c>
      <c r="F50" s="250" t="s">
        <v>153</v>
      </c>
      <c r="H50" s="250"/>
      <c r="I50" s="250" t="s">
        <v>149</v>
      </c>
      <c r="L50" s="329"/>
      <c r="M50" s="82"/>
      <c r="N50" s="82"/>
      <c r="O50" s="31"/>
      <c r="P50" s="256"/>
      <c r="Q50" s="291" t="str">
        <f>'INPUT DATA'!F19</f>
        <v>NELSON A. IMACULATA JR.</v>
      </c>
      <c r="R50" s="205"/>
      <c r="S50" s="205"/>
      <c r="T50" s="205"/>
      <c r="U50" s="205"/>
      <c r="V50" s="205"/>
      <c r="W50" s="246"/>
      <c r="X50" s="246"/>
      <c r="Y50" s="246"/>
      <c r="Z50" s="246"/>
      <c r="AA50" s="246"/>
      <c r="AB50" s="246"/>
      <c r="AC50" s="246"/>
      <c r="AD50" s="248"/>
      <c r="AE50" s="31"/>
      <c r="AF50" s="31"/>
    </row>
    <row r="51" ht="15.75" customHeight="1">
      <c r="A51" s="245"/>
      <c r="B51" s="246"/>
      <c r="C51" s="250" t="s">
        <v>154</v>
      </c>
      <c r="F51" s="250" t="s">
        <v>155</v>
      </c>
      <c r="H51" s="250"/>
      <c r="I51" s="250" t="s">
        <v>156</v>
      </c>
      <c r="L51" s="329"/>
      <c r="M51" s="82"/>
      <c r="N51" s="82"/>
      <c r="O51" s="31"/>
      <c r="P51" s="256"/>
      <c r="Q51" s="250" t="s">
        <v>116</v>
      </c>
      <c r="W51" s="246"/>
      <c r="X51" s="246"/>
      <c r="Y51" s="246"/>
      <c r="Z51" s="246"/>
      <c r="AA51" s="246"/>
      <c r="AB51" s="246"/>
      <c r="AC51" s="246"/>
      <c r="AD51" s="248"/>
      <c r="AE51" s="31"/>
      <c r="AF51" s="31"/>
    </row>
    <row r="52" ht="15.75" customHeight="1">
      <c r="A52" s="256"/>
      <c r="B52" s="31"/>
      <c r="C52" s="250" t="s">
        <v>157</v>
      </c>
      <c r="F52" s="250" t="s">
        <v>158</v>
      </c>
      <c r="H52" s="31"/>
      <c r="I52" s="250" t="s">
        <v>156</v>
      </c>
      <c r="K52" s="31"/>
      <c r="L52" s="248"/>
      <c r="M52" s="31"/>
      <c r="N52" s="31"/>
      <c r="O52" s="31"/>
      <c r="P52" s="256"/>
      <c r="Q52" s="246"/>
      <c r="R52" s="246"/>
      <c r="S52" s="246"/>
      <c r="T52" s="246"/>
      <c r="U52" s="246"/>
      <c r="V52" s="246"/>
      <c r="W52" s="246"/>
      <c r="X52" s="246"/>
      <c r="Y52" s="246"/>
      <c r="Z52" s="246"/>
      <c r="AA52" s="246"/>
      <c r="AB52" s="246"/>
      <c r="AC52" s="246"/>
      <c r="AD52" s="248"/>
      <c r="AE52" s="31"/>
      <c r="AF52" s="31"/>
    </row>
    <row r="53" ht="15.75" customHeight="1">
      <c r="A53" s="330"/>
      <c r="B53" s="331"/>
      <c r="C53" s="331"/>
      <c r="D53" s="331"/>
      <c r="E53" s="331"/>
      <c r="F53" s="331"/>
      <c r="G53" s="331"/>
      <c r="H53" s="331"/>
      <c r="I53" s="331"/>
      <c r="J53" s="331"/>
      <c r="K53" s="331"/>
      <c r="L53" s="332"/>
      <c r="M53" s="31"/>
      <c r="N53" s="31"/>
      <c r="O53" s="31"/>
      <c r="P53" s="330"/>
      <c r="Q53" s="331"/>
      <c r="R53" s="331"/>
      <c r="S53" s="331"/>
      <c r="T53" s="331"/>
      <c r="U53" s="331"/>
      <c r="V53" s="331"/>
      <c r="W53" s="331"/>
      <c r="X53" s="331"/>
      <c r="Y53" s="331"/>
      <c r="Z53" s="331"/>
      <c r="AA53" s="331"/>
      <c r="AB53" s="331"/>
      <c r="AC53" s="331"/>
      <c r="AD53" s="332"/>
      <c r="AE53" s="31"/>
      <c r="AF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9">
    <mergeCell ref="B10:K10"/>
    <mergeCell ref="B12:K12"/>
    <mergeCell ref="B14:K14"/>
    <mergeCell ref="B15:K15"/>
    <mergeCell ref="C17:G17"/>
    <mergeCell ref="C18:E18"/>
    <mergeCell ref="B21:C21"/>
    <mergeCell ref="I30:I31"/>
    <mergeCell ref="J30:K31"/>
    <mergeCell ref="B27:F27"/>
    <mergeCell ref="H27:K27"/>
    <mergeCell ref="B28:F28"/>
    <mergeCell ref="H28:K28"/>
    <mergeCell ref="B29:K29"/>
    <mergeCell ref="B30:E31"/>
    <mergeCell ref="F30:H30"/>
    <mergeCell ref="B35:E35"/>
    <mergeCell ref="B36:E36"/>
    <mergeCell ref="B37:E37"/>
    <mergeCell ref="B38:E38"/>
    <mergeCell ref="B39:E39"/>
    <mergeCell ref="B40:E40"/>
    <mergeCell ref="B41:E41"/>
    <mergeCell ref="J36:K36"/>
    <mergeCell ref="J37:K37"/>
    <mergeCell ref="J38:K38"/>
    <mergeCell ref="J39:K39"/>
    <mergeCell ref="J40:K40"/>
    <mergeCell ref="J41:K41"/>
    <mergeCell ref="B32:E32"/>
    <mergeCell ref="J32:K32"/>
    <mergeCell ref="B33:E33"/>
    <mergeCell ref="J33:K33"/>
    <mergeCell ref="B34:E34"/>
    <mergeCell ref="J34:K34"/>
    <mergeCell ref="J35:K35"/>
    <mergeCell ref="AC9:AC10"/>
    <mergeCell ref="Q14:AC14"/>
    <mergeCell ref="Q16:AC18"/>
    <mergeCell ref="Q20:AC22"/>
    <mergeCell ref="Q24:AC26"/>
    <mergeCell ref="Q28:AC28"/>
    <mergeCell ref="R29:S29"/>
    <mergeCell ref="R30:S30"/>
    <mergeCell ref="R31:S31"/>
    <mergeCell ref="Q33:AC33"/>
    <mergeCell ref="X39:AB39"/>
    <mergeCell ref="R40:U40"/>
    <mergeCell ref="X40:AC40"/>
    <mergeCell ref="X41:AC41"/>
    <mergeCell ref="X44:AC44"/>
    <mergeCell ref="Q45:AC45"/>
    <mergeCell ref="Q46:AC46"/>
    <mergeCell ref="B42:E42"/>
    <mergeCell ref="J42:K42"/>
    <mergeCell ref="B43:H44"/>
    <mergeCell ref="I43:I44"/>
    <mergeCell ref="J43:K44"/>
    <mergeCell ref="M43:O43"/>
    <mergeCell ref="X43:AC43"/>
    <mergeCell ref="I47:J47"/>
    <mergeCell ref="I48:J48"/>
    <mergeCell ref="I49:J49"/>
    <mergeCell ref="I50:J50"/>
    <mergeCell ref="B46:E46"/>
    <mergeCell ref="F46:G46"/>
    <mergeCell ref="I46:J46"/>
    <mergeCell ref="C47:E47"/>
    <mergeCell ref="F47:G47"/>
    <mergeCell ref="C48:E48"/>
    <mergeCell ref="F48:G48"/>
    <mergeCell ref="Q50:V50"/>
    <mergeCell ref="Q51:V51"/>
    <mergeCell ref="C52:E52"/>
    <mergeCell ref="F52:G52"/>
    <mergeCell ref="I52:J52"/>
    <mergeCell ref="C49:E49"/>
    <mergeCell ref="F49:G49"/>
    <mergeCell ref="C50:E50"/>
    <mergeCell ref="F50:G50"/>
    <mergeCell ref="C51:E51"/>
    <mergeCell ref="F51:G51"/>
    <mergeCell ref="I51:J51"/>
    <mergeCell ref="V5:V6"/>
    <mergeCell ref="W5:W6"/>
    <mergeCell ref="X5:X6"/>
    <mergeCell ref="Y5:Y6"/>
    <mergeCell ref="Z5:Z6"/>
    <mergeCell ref="AA5:AA6"/>
    <mergeCell ref="AB5:AB6"/>
    <mergeCell ref="AC5:AC6"/>
    <mergeCell ref="B4:K4"/>
    <mergeCell ref="B5:K5"/>
    <mergeCell ref="Q5:Q6"/>
    <mergeCell ref="R5:R6"/>
    <mergeCell ref="S5:S6"/>
    <mergeCell ref="T5:T6"/>
    <mergeCell ref="U5:U6"/>
    <mergeCell ref="V7:V8"/>
    <mergeCell ref="W7:W8"/>
    <mergeCell ref="X7:X8"/>
    <mergeCell ref="Y7:Y8"/>
    <mergeCell ref="Z7:Z8"/>
    <mergeCell ref="AA7:AA8"/>
    <mergeCell ref="AB7:AB8"/>
    <mergeCell ref="AC7:AC8"/>
    <mergeCell ref="B6:K6"/>
    <mergeCell ref="B7:K7"/>
    <mergeCell ref="Q7:Q8"/>
    <mergeCell ref="R7:R8"/>
    <mergeCell ref="S7:S8"/>
    <mergeCell ref="T7:T8"/>
    <mergeCell ref="U7:U8"/>
    <mergeCell ref="B8:K8"/>
    <mergeCell ref="B9:K9"/>
    <mergeCell ref="Q9:Q10"/>
    <mergeCell ref="R9:R10"/>
    <mergeCell ref="S9:S10"/>
    <mergeCell ref="T9:T10"/>
    <mergeCell ref="U9:U10"/>
    <mergeCell ref="V9:V10"/>
    <mergeCell ref="W9:W10"/>
    <mergeCell ref="X9:X10"/>
    <mergeCell ref="Y9:Y10"/>
    <mergeCell ref="Z9:Z10"/>
    <mergeCell ref="AA9:AA10"/>
    <mergeCell ref="AB9:AB10"/>
    <mergeCell ref="Q41:V43"/>
    <mergeCell ref="Q44:V44"/>
  </mergeCells>
  <dataValidations>
    <dataValidation type="list" allowBlank="1" showErrorMessage="1" sqref="Q20">
      <formula1>'SUGGESTED COMMENTS'!$J$1:$J$66</formula1>
    </dataValidation>
    <dataValidation type="list" allowBlank="1" showErrorMessage="1" sqref="C17">
      <formula1>'FINAL GRADES'!$C$15:$C$144</formula1>
    </dataValidation>
    <dataValidation type="list" allowBlank="1" showErrorMessage="1" sqref="Q15:AC15 Q16">
      <formula1>'SUGGESTED COMMENTS'!$A$1:$A$66</formula1>
    </dataValidation>
    <dataValidation type="list" allowBlank="1" showErrorMessage="1" sqref="Q24">
      <formula1>'SUGGESTED COMMENTS'!$R$1:$R$65</formula1>
    </dataValidation>
  </dataValidations>
  <printOptions/>
  <pageMargins bottom="0.144" footer="0.0" header="0.0" left="0.4725" right="0.3616666666666667" top="0.25066666666666665"/>
  <pageSetup fitToHeight="0" orientation="landscape"/>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B5F8"/>
    <pageSetUpPr/>
  </sheetPr>
  <sheetViews>
    <sheetView workbookViewId="0"/>
  </sheetViews>
  <sheetFormatPr customHeight="1" defaultColWidth="12.63" defaultRowHeight="15.0"/>
  <cols>
    <col customWidth="1" min="1" max="8" width="8.63"/>
    <col customWidth="1" min="9" max="9" width="3.25"/>
    <col customWidth="1" min="10" max="26" width="8.63"/>
  </cols>
  <sheetData>
    <row r="1" ht="12.75" customHeight="1">
      <c r="A1" s="334" t="s">
        <v>159</v>
      </c>
      <c r="J1" s="334" t="s">
        <v>160</v>
      </c>
      <c r="R1" s="334" t="s">
        <v>161</v>
      </c>
    </row>
    <row r="2" ht="12.75" customHeight="1"/>
    <row r="3" ht="12.75" customHeight="1">
      <c r="A3" s="334" t="s">
        <v>162</v>
      </c>
      <c r="J3" s="334" t="s">
        <v>162</v>
      </c>
      <c r="R3" s="334" t="s">
        <v>162</v>
      </c>
    </row>
    <row r="4" ht="12.75" customHeight="1"/>
    <row r="5" ht="12.75" customHeight="1">
      <c r="A5" s="334" t="s">
        <v>163</v>
      </c>
      <c r="J5" s="334" t="s">
        <v>164</v>
      </c>
      <c r="R5" s="334" t="s">
        <v>165</v>
      </c>
    </row>
    <row r="6" ht="12.75" customHeight="1">
      <c r="A6" s="334" t="s">
        <v>166</v>
      </c>
      <c r="J6" s="334" t="s">
        <v>167</v>
      </c>
      <c r="R6" s="334" t="s">
        <v>168</v>
      </c>
    </row>
    <row r="7" ht="12.75" customHeight="1">
      <c r="A7" s="334" t="s">
        <v>169</v>
      </c>
      <c r="J7" s="334" t="s">
        <v>170</v>
      </c>
      <c r="R7" s="334" t="s">
        <v>171</v>
      </c>
    </row>
    <row r="8" ht="12.75" customHeight="1">
      <c r="A8" s="334" t="s">
        <v>101</v>
      </c>
      <c r="J8" s="334" t="s">
        <v>172</v>
      </c>
      <c r="R8" s="334" t="s">
        <v>173</v>
      </c>
    </row>
    <row r="9" ht="12.75" customHeight="1">
      <c r="A9" s="334" t="s">
        <v>174</v>
      </c>
      <c r="J9" s="334" t="s">
        <v>175</v>
      </c>
      <c r="R9" s="334" t="s">
        <v>176</v>
      </c>
    </row>
    <row r="10" ht="12.75" customHeight="1">
      <c r="A10" s="334" t="s">
        <v>177</v>
      </c>
      <c r="J10" s="334" t="s">
        <v>178</v>
      </c>
      <c r="R10" s="334" t="s">
        <v>179</v>
      </c>
    </row>
    <row r="11" ht="12.75" customHeight="1">
      <c r="A11" s="334" t="s">
        <v>180</v>
      </c>
      <c r="J11" s="334" t="s">
        <v>181</v>
      </c>
      <c r="R11" s="334" t="s">
        <v>182</v>
      </c>
    </row>
    <row r="12" ht="12.75" customHeight="1">
      <c r="A12" s="334" t="s">
        <v>183</v>
      </c>
      <c r="J12" s="334" t="s">
        <v>184</v>
      </c>
      <c r="R12" s="334" t="s">
        <v>185</v>
      </c>
    </row>
    <row r="13" ht="12.75" customHeight="1">
      <c r="A13" s="334" t="s">
        <v>186</v>
      </c>
      <c r="J13" s="334" t="s">
        <v>187</v>
      </c>
      <c r="R13" s="334" t="s">
        <v>188</v>
      </c>
    </row>
    <row r="14" ht="12.75" customHeight="1">
      <c r="A14" s="334" t="s">
        <v>189</v>
      </c>
      <c r="J14" s="334" t="s">
        <v>190</v>
      </c>
      <c r="R14" s="334" t="s">
        <v>191</v>
      </c>
    </row>
    <row r="15" ht="12.75" customHeight="1"/>
    <row r="16" ht="12.75" customHeight="1">
      <c r="A16" s="334" t="s">
        <v>192</v>
      </c>
      <c r="J16" s="334" t="s">
        <v>192</v>
      </c>
      <c r="R16" s="334" t="s">
        <v>192</v>
      </c>
    </row>
    <row r="17" ht="12.75" customHeight="1"/>
    <row r="18" ht="12.75" customHeight="1">
      <c r="A18" s="334" t="s">
        <v>193</v>
      </c>
      <c r="J18" s="334" t="s">
        <v>194</v>
      </c>
      <c r="R18" s="334" t="s">
        <v>195</v>
      </c>
    </row>
    <row r="19" ht="12.75" customHeight="1">
      <c r="A19" s="334" t="s">
        <v>196</v>
      </c>
      <c r="J19" s="334" t="s">
        <v>197</v>
      </c>
      <c r="R19" s="334" t="s">
        <v>198</v>
      </c>
    </row>
    <row r="20" ht="12.75" customHeight="1">
      <c r="A20" s="334" t="s">
        <v>199</v>
      </c>
      <c r="J20" s="334" t="s">
        <v>200</v>
      </c>
      <c r="R20" s="334" t="s">
        <v>201</v>
      </c>
    </row>
    <row r="21" ht="12.75" customHeight="1">
      <c r="A21" s="334" t="s">
        <v>202</v>
      </c>
      <c r="J21" s="334" t="s">
        <v>203</v>
      </c>
      <c r="R21" s="334" t="s">
        <v>204</v>
      </c>
    </row>
    <row r="22" ht="12.75" customHeight="1">
      <c r="A22" s="334" t="s">
        <v>205</v>
      </c>
      <c r="J22" s="334" t="s">
        <v>206</v>
      </c>
      <c r="R22" s="334" t="s">
        <v>207</v>
      </c>
    </row>
    <row r="23" ht="12.75" customHeight="1">
      <c r="A23" s="334" t="s">
        <v>208</v>
      </c>
      <c r="J23" s="334" t="s">
        <v>209</v>
      </c>
      <c r="R23" s="334" t="s">
        <v>210</v>
      </c>
    </row>
    <row r="24" ht="12.75" customHeight="1">
      <c r="A24" s="334" t="s">
        <v>211</v>
      </c>
      <c r="J24" s="334" t="s">
        <v>212</v>
      </c>
      <c r="R24" s="334" t="s">
        <v>213</v>
      </c>
    </row>
    <row r="25" ht="12.75" customHeight="1">
      <c r="A25" s="334" t="s">
        <v>214</v>
      </c>
      <c r="J25" s="334" t="s">
        <v>215</v>
      </c>
      <c r="R25" s="334" t="s">
        <v>216</v>
      </c>
    </row>
    <row r="26" ht="12.75" customHeight="1">
      <c r="A26" s="334" t="s">
        <v>217</v>
      </c>
      <c r="J26" s="334" t="s">
        <v>218</v>
      </c>
      <c r="R26" s="334" t="s">
        <v>219</v>
      </c>
    </row>
    <row r="27" ht="12.75" customHeight="1">
      <c r="A27" s="334" t="s">
        <v>220</v>
      </c>
      <c r="J27" s="334" t="s">
        <v>221</v>
      </c>
      <c r="R27" s="334" t="s">
        <v>222</v>
      </c>
    </row>
    <row r="28" ht="12.75" customHeight="1"/>
    <row r="29" ht="12.75" customHeight="1">
      <c r="A29" s="334" t="s">
        <v>223</v>
      </c>
      <c r="J29" s="334" t="s">
        <v>223</v>
      </c>
      <c r="R29" s="334" t="s">
        <v>223</v>
      </c>
    </row>
    <row r="30" ht="12.75" customHeight="1"/>
    <row r="31" ht="12.75" customHeight="1">
      <c r="A31" s="334" t="s">
        <v>224</v>
      </c>
      <c r="J31" s="334" t="s">
        <v>225</v>
      </c>
      <c r="R31" s="334" t="s">
        <v>226</v>
      </c>
    </row>
    <row r="32" ht="12.75" customHeight="1">
      <c r="A32" s="334" t="s">
        <v>227</v>
      </c>
      <c r="J32" s="334" t="s">
        <v>228</v>
      </c>
      <c r="R32" s="334" t="s">
        <v>229</v>
      </c>
    </row>
    <row r="33" ht="12.75" customHeight="1">
      <c r="A33" s="334" t="s">
        <v>230</v>
      </c>
      <c r="J33" s="334" t="s">
        <v>231</v>
      </c>
      <c r="R33" s="334" t="s">
        <v>232</v>
      </c>
    </row>
    <row r="34" ht="12.75" customHeight="1">
      <c r="A34" s="334" t="s">
        <v>233</v>
      </c>
      <c r="J34" s="334" t="s">
        <v>234</v>
      </c>
      <c r="R34" s="334" t="s">
        <v>235</v>
      </c>
    </row>
    <row r="35" ht="12.75" customHeight="1">
      <c r="A35" s="334" t="s">
        <v>236</v>
      </c>
      <c r="J35" s="334" t="s">
        <v>237</v>
      </c>
      <c r="R35" s="334" t="s">
        <v>238</v>
      </c>
    </row>
    <row r="36" ht="12.75" customHeight="1">
      <c r="A36" s="334" t="s">
        <v>239</v>
      </c>
      <c r="J36" s="334" t="s">
        <v>240</v>
      </c>
      <c r="R36" s="334" t="s">
        <v>241</v>
      </c>
    </row>
    <row r="37" ht="12.75" customHeight="1">
      <c r="A37" s="334" t="s">
        <v>242</v>
      </c>
      <c r="J37" s="334" t="s">
        <v>243</v>
      </c>
      <c r="R37" s="334" t="s">
        <v>244</v>
      </c>
    </row>
    <row r="38" ht="12.75" customHeight="1">
      <c r="A38" s="334" t="s">
        <v>245</v>
      </c>
      <c r="J38" s="334" t="s">
        <v>246</v>
      </c>
      <c r="R38" s="334" t="s">
        <v>247</v>
      </c>
    </row>
    <row r="39" ht="12.75" customHeight="1">
      <c r="A39" s="334" t="s">
        <v>248</v>
      </c>
      <c r="J39" s="334" t="s">
        <v>249</v>
      </c>
      <c r="R39" s="334" t="s">
        <v>250</v>
      </c>
    </row>
    <row r="40" ht="12.75" customHeight="1">
      <c r="A40" s="334" t="s">
        <v>251</v>
      </c>
      <c r="J40" s="334" t="s">
        <v>252</v>
      </c>
      <c r="R40" s="334" t="s">
        <v>253</v>
      </c>
    </row>
    <row r="41" ht="12.75" customHeight="1"/>
    <row r="42" ht="12.75" customHeight="1">
      <c r="A42" s="334" t="s">
        <v>254</v>
      </c>
      <c r="J42" s="334" t="s">
        <v>254</v>
      </c>
      <c r="R42" s="334" t="s">
        <v>254</v>
      </c>
    </row>
    <row r="43" ht="12.75" customHeight="1"/>
    <row r="44" ht="12.75" customHeight="1">
      <c r="A44" s="334" t="s">
        <v>255</v>
      </c>
      <c r="J44" s="334" t="s">
        <v>256</v>
      </c>
      <c r="R44" s="334" t="s">
        <v>257</v>
      </c>
    </row>
    <row r="45" ht="12.75" customHeight="1">
      <c r="A45" s="334" t="s">
        <v>258</v>
      </c>
      <c r="J45" s="334" t="s">
        <v>259</v>
      </c>
      <c r="R45" s="334" t="s">
        <v>260</v>
      </c>
    </row>
    <row r="46" ht="12.75" customHeight="1">
      <c r="A46" s="334" t="s">
        <v>261</v>
      </c>
      <c r="J46" s="334" t="s">
        <v>262</v>
      </c>
      <c r="R46" s="334" t="s">
        <v>263</v>
      </c>
    </row>
    <row r="47" ht="12.75" customHeight="1">
      <c r="A47" s="334" t="s">
        <v>264</v>
      </c>
      <c r="J47" s="334" t="s">
        <v>265</v>
      </c>
      <c r="R47" s="334" t="s">
        <v>266</v>
      </c>
    </row>
    <row r="48" ht="12.75" customHeight="1">
      <c r="A48" s="334" t="s">
        <v>267</v>
      </c>
      <c r="J48" s="334" t="s">
        <v>268</v>
      </c>
      <c r="R48" s="334" t="s">
        <v>269</v>
      </c>
    </row>
    <row r="49" ht="12.75" customHeight="1">
      <c r="A49" s="334" t="s">
        <v>270</v>
      </c>
      <c r="J49" s="334" t="s">
        <v>271</v>
      </c>
      <c r="R49" s="334" t="s">
        <v>272</v>
      </c>
    </row>
    <row r="50" ht="12.75" customHeight="1">
      <c r="A50" s="334" t="s">
        <v>273</v>
      </c>
      <c r="J50" s="334" t="s">
        <v>274</v>
      </c>
      <c r="R50" s="334" t="s">
        <v>275</v>
      </c>
    </row>
    <row r="51" ht="12.75" customHeight="1">
      <c r="A51" s="334" t="s">
        <v>276</v>
      </c>
      <c r="J51" s="334" t="s">
        <v>277</v>
      </c>
      <c r="R51" s="334" t="s">
        <v>278</v>
      </c>
    </row>
    <row r="52" ht="12.75" customHeight="1">
      <c r="A52" s="334" t="s">
        <v>279</v>
      </c>
      <c r="J52" s="334" t="s">
        <v>280</v>
      </c>
      <c r="R52" s="334" t="s">
        <v>281</v>
      </c>
    </row>
    <row r="53" ht="12.75" customHeight="1">
      <c r="A53" s="334" t="s">
        <v>282</v>
      </c>
      <c r="J53" s="334" t="s">
        <v>283</v>
      </c>
      <c r="R53" s="334" t="s">
        <v>284</v>
      </c>
    </row>
    <row r="54" ht="12.75" customHeight="1"/>
    <row r="55" ht="12.75" customHeight="1">
      <c r="A55" s="334" t="s">
        <v>285</v>
      </c>
      <c r="J55" s="334" t="s">
        <v>285</v>
      </c>
      <c r="R55" s="334" t="s">
        <v>285</v>
      </c>
    </row>
    <row r="56" ht="12.75" customHeight="1"/>
    <row r="57" ht="12.75" customHeight="1">
      <c r="A57" s="334" t="s">
        <v>286</v>
      </c>
      <c r="J57" s="334" t="s">
        <v>287</v>
      </c>
      <c r="R57" s="334" t="s">
        <v>288</v>
      </c>
    </row>
    <row r="58" ht="12.75" customHeight="1">
      <c r="A58" s="334" t="s">
        <v>289</v>
      </c>
      <c r="J58" s="334" t="s">
        <v>290</v>
      </c>
      <c r="R58" s="334" t="s">
        <v>291</v>
      </c>
    </row>
    <row r="59" ht="12.75" customHeight="1">
      <c r="A59" s="334" t="s">
        <v>292</v>
      </c>
      <c r="J59" s="334" t="s">
        <v>293</v>
      </c>
      <c r="R59" s="334" t="s">
        <v>294</v>
      </c>
    </row>
    <row r="60" ht="12.75" customHeight="1">
      <c r="A60" s="334" t="s">
        <v>295</v>
      </c>
      <c r="J60" s="334" t="s">
        <v>296</v>
      </c>
      <c r="R60" s="334" t="s">
        <v>297</v>
      </c>
    </row>
    <row r="61" ht="12.75" customHeight="1">
      <c r="A61" s="334" t="s">
        <v>298</v>
      </c>
      <c r="J61" s="334" t="s">
        <v>299</v>
      </c>
      <c r="R61" s="334" t="s">
        <v>300</v>
      </c>
    </row>
    <row r="62" ht="12.75" customHeight="1">
      <c r="A62" s="334" t="s">
        <v>301</v>
      </c>
      <c r="J62" s="334" t="s">
        <v>302</v>
      </c>
      <c r="R62" s="334" t="s">
        <v>303</v>
      </c>
    </row>
    <row r="63" ht="12.75" customHeight="1">
      <c r="A63" s="334" t="s">
        <v>304</v>
      </c>
      <c r="J63" s="334" t="s">
        <v>305</v>
      </c>
      <c r="R63" s="334" t="s">
        <v>306</v>
      </c>
    </row>
    <row r="64" ht="12.75" customHeight="1">
      <c r="A64" s="334" t="s">
        <v>307</v>
      </c>
      <c r="J64" s="334" t="s">
        <v>308</v>
      </c>
      <c r="R64" s="334" t="s">
        <v>309</v>
      </c>
    </row>
    <row r="65" ht="12.75" customHeight="1">
      <c r="A65" s="334" t="s">
        <v>310</v>
      </c>
      <c r="J65" s="334" t="s">
        <v>311</v>
      </c>
      <c r="R65" s="334" t="s">
        <v>312</v>
      </c>
    </row>
    <row r="66" ht="12.75" customHeight="1">
      <c r="A66" s="334" t="s">
        <v>313</v>
      </c>
      <c r="J66" s="334" t="s">
        <v>314</v>
      </c>
    </row>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c r="A204" s="334" t="s">
        <v>315</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75"/>
  </cols>
  <sheetData>
    <row r="1" ht="12.75" customHeight="1">
      <c r="A1" s="328" t="s">
        <v>143</v>
      </c>
      <c r="B1" s="328"/>
      <c r="C1" s="328" t="s">
        <v>121</v>
      </c>
    </row>
    <row r="2" ht="12.75" customHeight="1">
      <c r="A2" s="246">
        <v>90.0</v>
      </c>
      <c r="B2" s="246">
        <v>90.0</v>
      </c>
      <c r="C2" s="246" t="s">
        <v>149</v>
      </c>
      <c r="D2" s="246"/>
      <c r="E2" s="334">
        <v>8.0</v>
      </c>
      <c r="F2" s="189" t="s">
        <v>316</v>
      </c>
    </row>
    <row r="3" ht="12.75" customHeight="1">
      <c r="A3" s="246">
        <v>80.0</v>
      </c>
      <c r="B3" s="246">
        <v>80.0</v>
      </c>
      <c r="C3" s="246" t="s">
        <v>149</v>
      </c>
      <c r="D3" s="246"/>
      <c r="E3" s="334">
        <v>6.0</v>
      </c>
      <c r="F3" s="189" t="s">
        <v>317</v>
      </c>
    </row>
    <row r="4" ht="12.75" customHeight="1">
      <c r="A4" s="246">
        <v>75.0</v>
      </c>
      <c r="B4" s="246">
        <v>75.0</v>
      </c>
      <c r="C4" s="246" t="s">
        <v>149</v>
      </c>
      <c r="D4" s="246"/>
      <c r="E4" s="334">
        <v>0.0</v>
      </c>
      <c r="F4" s="189" t="s">
        <v>318</v>
      </c>
    </row>
    <row r="5" ht="12.75" customHeight="1">
      <c r="A5" s="246">
        <v>65.0</v>
      </c>
      <c r="B5" s="246">
        <v>65.0</v>
      </c>
      <c r="C5" s="246" t="s">
        <v>156</v>
      </c>
      <c r="D5" s="246"/>
    </row>
    <row r="6" ht="12.75" customHeight="1">
      <c r="A6" s="246">
        <v>0.0</v>
      </c>
      <c r="B6" s="246">
        <v>0.0</v>
      </c>
      <c r="C6" s="246" t="s">
        <v>156</v>
      </c>
      <c r="D6" s="246"/>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